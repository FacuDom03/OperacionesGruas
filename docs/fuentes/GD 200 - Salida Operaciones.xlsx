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codeName="ThisWorkbook" defaultThemeVersion="124226"/>
  <mc:AlternateContent xmlns:mc="http://schemas.openxmlformats.org/markup-compatibility/2006">
    <mc:Choice Requires="x15">
      <x15ac:absPath xmlns:x15ac="http://schemas.microsoft.com/office/spreadsheetml/2010/11/ac" url="https://gruasdanielesrl.sharepoint.com/sites/FileServer/Documentos compartidos/03_OPERACIONES/Planificación y Control/GD SALIDA OPERACIONES/GD Salida Operaciones 2026/2026-09/"/>
    </mc:Choice>
  </mc:AlternateContent>
  <xr:revisionPtr revIDLastSave="0" documentId="8_{BB51B537-37CC-4C06-8105-8879ABE4EDFA}" xr6:coauthVersionLast="47" xr6:coauthVersionMax="47" xr10:uidLastSave="{00000000-0000-0000-0000-000000000000}"/>
  <bookViews>
    <workbookView xWindow="22932" yWindow="-108" windowWidth="23256" windowHeight="12456" firstSheet="32" activeTab="32" xr2:uid="{00000000-000D-0000-FFFF-FFFF00000000}"/>
  </bookViews>
  <sheets>
    <sheet name="Operacion" sheetId="56" r:id="rId1"/>
    <sheet name="Personal" sheetId="85" r:id="rId2"/>
    <sheet name="GUARDIAS " sheetId="90" r:id="rId3"/>
    <sheet name="Resumen Montera" sheetId="77" r:id="rId4"/>
    <sheet name="Resumen Rivas" sheetId="79" r:id="rId5"/>
    <sheet name="Resumen FMB" sheetId="81" r:id="rId6"/>
    <sheet name="100-Kia" sheetId="45" r:id="rId7"/>
    <sheet name="101-Hyundai" sheetId="44" r:id="rId8"/>
    <sheet name="105-VW 9150" sheetId="42" r:id="rId9"/>
    <sheet name="106-Iveco Euro 220" sheetId="40" r:id="rId10"/>
    <sheet name="110-Iveco Tector" sheetId="43" r:id="rId11"/>
    <sheet name="111-Iveco DS - 240" sheetId="49" r:id="rId12"/>
    <sheet name="113-Iveco DS - 240" sheetId="94" r:id="rId13"/>
    <sheet name="109-Scania" sheetId="48" r:id="rId14"/>
    <sheet name="112-Iveco DS" sheetId="50" r:id="rId15"/>
    <sheet name="402-Autoelevador" sheetId="51" r:id="rId16"/>
    <sheet name="403-Autoelevador" sheetId="62" r:id="rId17"/>
    <sheet name="404-Autoelevador" sheetId="63" r:id="rId18"/>
    <sheet name="405-Autoelevador " sheetId="93" r:id="rId19"/>
    <sheet name="406-Autoelevador" sheetId="47" r:id="rId20"/>
    <sheet name="407-Autoelevador" sheetId="86" r:id="rId21"/>
    <sheet name="408-Autoelevador " sheetId="96" r:id="rId22"/>
    <sheet name="454-Manipiulador" sheetId="87" r:id="rId23"/>
    <sheet name="701-Grua Alquilada" sheetId="97" r:id="rId24"/>
    <sheet name="500-Liebherr 1030" sheetId="69" r:id="rId25"/>
    <sheet name="502-Liebherr 1070" sheetId="71" r:id="rId26"/>
    <sheet name="503-Liebherr 1090" sheetId="72" r:id="rId27"/>
    <sheet name="504-Liebherr 1100" sheetId="52" r:id="rId28"/>
    <sheet name="505-Liebherr 1250" sheetId="46" r:id="rId29"/>
    <sheet name="510- Tadano 300ex" sheetId="53" r:id="rId30"/>
    <sheet name="516-Grove gmk 2035 " sheetId="64" r:id="rId31"/>
    <sheet name="517-Grove gmk 5130" sheetId="82" r:id="rId32"/>
    <sheet name="518 - Liebherr 1060 3.1" sheetId="73" r:id="rId33"/>
    <sheet name="520 - Liebherr 1070" sheetId="78" r:id="rId34"/>
    <sheet name="521 - Liebherr 1150" sheetId="95" r:id="rId35"/>
    <sheet name="522 - Liebherr 1230" sheetId="27" r:id="rId36"/>
    <sheet name="700-Alquiler 1" sheetId="88" r:id="rId37"/>
    <sheet name="702-Alquiler 2" sheetId="89" r:id="rId38"/>
    <sheet name="703-Alquiler 3" sheetId="91" r:id="rId39"/>
    <sheet name="Empresas" sheetId="22" r:id="rId40"/>
    <sheet name="Equipos" sheetId="83" r:id="rId41"/>
    <sheet name="Verificador" sheetId="28" r:id="rId42"/>
    <sheet name="Operador" sheetId="30" r:id="rId43"/>
    <sheet name="BAJA 103" sheetId="41" r:id="rId44"/>
    <sheet name="BAJA 509" sheetId="54" r:id="rId45"/>
  </sheets>
  <externalReferences>
    <externalReference r:id="rId46"/>
  </externalReferences>
  <definedNames>
    <definedName name="_xlnm._FilterDatabase" localSheetId="42" hidden="1">Operador!$D$1:$E$6</definedName>
    <definedName name="_xlnm._FilterDatabase" localSheetId="1" hidden="1">Personal!#REF!</definedName>
    <definedName name="_xlnm._FilterDatabase" localSheetId="41" hidden="1">Verificador!$D$1:$E$7</definedName>
    <definedName name="a" localSheetId="12">#REF!</definedName>
    <definedName name="a" localSheetId="18">#REF!</definedName>
    <definedName name="a" localSheetId="20">#REF!</definedName>
    <definedName name="a" localSheetId="21">#REF!</definedName>
    <definedName name="a" localSheetId="22">#REF!</definedName>
    <definedName name="a" localSheetId="24">#REF!</definedName>
    <definedName name="a" localSheetId="25">#REF!</definedName>
    <definedName name="a" localSheetId="26">#REF!</definedName>
    <definedName name="a" localSheetId="31">#REF!</definedName>
    <definedName name="a" localSheetId="32">#REF!</definedName>
    <definedName name="a" localSheetId="33">#REF!</definedName>
    <definedName name="a" localSheetId="34">#REF!</definedName>
    <definedName name="a" localSheetId="36">#REF!</definedName>
    <definedName name="a" localSheetId="38">#REF!</definedName>
    <definedName name="a" localSheetId="5">#REF!</definedName>
    <definedName name="a" localSheetId="4">#REF!</definedName>
    <definedName name="a">#REF!</definedName>
    <definedName name="aa" localSheetId="12">#REF!</definedName>
    <definedName name="aa" localSheetId="18">#REF!</definedName>
    <definedName name="aa" localSheetId="20">#REF!</definedName>
    <definedName name="aa" localSheetId="21">#REF!</definedName>
    <definedName name="aa" localSheetId="22">#REF!</definedName>
    <definedName name="aa" localSheetId="25">#REF!</definedName>
    <definedName name="aa" localSheetId="26">#REF!</definedName>
    <definedName name="aa" localSheetId="31">#REF!</definedName>
    <definedName name="aa" localSheetId="32">#REF!</definedName>
    <definedName name="aa" localSheetId="33">#REF!</definedName>
    <definedName name="aa" localSheetId="34">#REF!</definedName>
    <definedName name="aa" localSheetId="36">#REF!</definedName>
    <definedName name="aa" localSheetId="38">#REF!</definedName>
    <definedName name="aa" localSheetId="5">#REF!</definedName>
    <definedName name="aa" localSheetId="4">#REF!</definedName>
    <definedName name="aa">#REF!</definedName>
    <definedName name="aaaaa" localSheetId="12">#REF!</definedName>
    <definedName name="aaaaa" localSheetId="18">#REF!</definedName>
    <definedName name="aaaaa" localSheetId="20">#REF!</definedName>
    <definedName name="aaaaa" localSheetId="21">#REF!</definedName>
    <definedName name="aaaaa" localSheetId="22">#REF!</definedName>
    <definedName name="aaaaa" localSheetId="25">#REF!</definedName>
    <definedName name="aaaaa" localSheetId="26">#REF!</definedName>
    <definedName name="aaaaa" localSheetId="31">#REF!</definedName>
    <definedName name="aaaaa" localSheetId="32">#REF!</definedName>
    <definedName name="aaaaa" localSheetId="33">#REF!</definedName>
    <definedName name="aaaaa" localSheetId="34">#REF!</definedName>
    <definedName name="aaaaa" localSheetId="36">#REF!</definedName>
    <definedName name="aaaaa" localSheetId="38">#REF!</definedName>
    <definedName name="aaaaa" localSheetId="5">#REF!</definedName>
    <definedName name="aaaaa" localSheetId="4">#REF!</definedName>
    <definedName name="aaaaa">#REF!</definedName>
    <definedName name="_xlnm.Print_Area" localSheetId="6">'100-Kia'!$B$1:$H$39</definedName>
    <definedName name="_xlnm.Print_Area" localSheetId="8">'105-VW 9150'!#REF!</definedName>
    <definedName name="_xlnm.Print_Area" localSheetId="10">'110-Iveco Tector'!#REF!</definedName>
    <definedName name="_xlnm.Print_Area" localSheetId="14">'112-Iveco DS'!$B$1:$I$38</definedName>
    <definedName name="_xlnm.Print_Area" localSheetId="15">'402-Autoelevador'!#REF!</definedName>
    <definedName name="_xlnm.Print_Area" localSheetId="16">'403-Autoelevador'!#REF!</definedName>
    <definedName name="_xlnm.Print_Area" localSheetId="17">'404-Autoelevador'!#REF!</definedName>
    <definedName name="_xlnm.Print_Area" localSheetId="18">'405-Autoelevador '!#REF!</definedName>
    <definedName name="_xlnm.Print_Area" localSheetId="36">'700-Alquiler 1'!#REF!</definedName>
    <definedName name="_xlnm.Print_Area" localSheetId="38">'703-Alquiler 3'!#REF!</definedName>
    <definedName name="_xlnm.Print_Area" localSheetId="0">Operacion!$B$2:$L$10</definedName>
    <definedName name="_xlnm.Print_Area" localSheetId="1">Personal!#REF!</definedName>
    <definedName name="auto">Empresas!#REF!</definedName>
    <definedName name="autoss">#REF!</definedName>
    <definedName name="BB" localSheetId="21">#REF!</definedName>
    <definedName name="BB">#REF!</definedName>
    <definedName name="ddd" localSheetId="12">Empresas!#REF!</definedName>
    <definedName name="ddd" localSheetId="18">Empresas!#REF!</definedName>
    <definedName name="ddd" localSheetId="20">Empresas!#REF!</definedName>
    <definedName name="ddd" localSheetId="21">Empresas!#REF!</definedName>
    <definedName name="ddd" localSheetId="22">Empresas!#REF!</definedName>
    <definedName name="ddd" localSheetId="25">Empresas!#REF!</definedName>
    <definedName name="ddd" localSheetId="26">Empresas!#REF!</definedName>
    <definedName name="ddd" localSheetId="31">Empresas!#REF!</definedName>
    <definedName name="ddd" localSheetId="32">Empresas!#REF!</definedName>
    <definedName name="ddd" localSheetId="33">Empresas!#REF!</definedName>
    <definedName name="ddd" localSheetId="34">Empresas!#REF!</definedName>
    <definedName name="ddd" localSheetId="36">Empresas!#REF!</definedName>
    <definedName name="ddd" localSheetId="38">Empresas!#REF!</definedName>
    <definedName name="ddd" localSheetId="5">Empresas!#REF!</definedName>
    <definedName name="ddd" localSheetId="4">Empresas!#REF!</definedName>
    <definedName name="ddd">Empresas!#REF!</definedName>
    <definedName name="elefante">#REF!</definedName>
    <definedName name="estado">Empresas!$A$17:$A$20</definedName>
    <definedName name="lima">#REF!</definedName>
    <definedName name="personal">Personal!$B$3:$F$53</definedName>
    <definedName name="personales">[1]Personal!$B$2:$F$50</definedName>
    <definedName name="status" localSheetId="12">Empresas!#REF!</definedName>
    <definedName name="status" localSheetId="18">Empresas!#REF!</definedName>
    <definedName name="status" localSheetId="20">Empresas!#REF!</definedName>
    <definedName name="status" localSheetId="21">Empresas!#REF!</definedName>
    <definedName name="status" localSheetId="22">Empresas!#REF!</definedName>
    <definedName name="status" localSheetId="24">Empresas!#REF!</definedName>
    <definedName name="status" localSheetId="25">Empresas!#REF!</definedName>
    <definedName name="status" localSheetId="26">Empresas!#REF!</definedName>
    <definedName name="status" localSheetId="31">Empresas!#REF!</definedName>
    <definedName name="status" localSheetId="32">Empresas!#REF!</definedName>
    <definedName name="status" localSheetId="33">Empresas!#REF!</definedName>
    <definedName name="status" localSheetId="34">Empresas!#REF!</definedName>
    <definedName name="status" localSheetId="36">Empresas!#REF!</definedName>
    <definedName name="status" localSheetId="38">Empresas!#REF!</definedName>
    <definedName name="status" localSheetId="5">Empresas!#REF!</definedName>
    <definedName name="status" localSheetId="4">Empresas!#REF!</definedName>
    <definedName name="status">Empresas!#REF!</definedName>
    <definedName name="tablacarga" localSheetId="12">#REF!</definedName>
    <definedName name="tablacarga" localSheetId="18">#REF!</definedName>
    <definedName name="tablacarga" localSheetId="20">#REF!</definedName>
    <definedName name="tablacarga" localSheetId="21">#REF!</definedName>
    <definedName name="tablacarga" localSheetId="22">#REF!</definedName>
    <definedName name="tablacarga" localSheetId="34">#REF!</definedName>
    <definedName name="tablacarga" localSheetId="36">#REF!</definedName>
    <definedName name="tablacarga" localSheetId="38">#REF!</definedName>
    <definedName name="tablacarga">#REF!</definedName>
    <definedName name="tablaequipo">Equipos!$B$2:$I$95</definedName>
    <definedName name="tablaequipos" localSheetId="12">#REF!</definedName>
    <definedName name="tablaequipos" localSheetId="18">#REF!</definedName>
    <definedName name="tablaequipos" localSheetId="20">#REF!</definedName>
    <definedName name="tablaequipos" localSheetId="21">#REF!</definedName>
    <definedName name="tablaequipos" localSheetId="22">#REF!</definedName>
    <definedName name="tablaequipos" localSheetId="34">#REF!</definedName>
    <definedName name="tablaequipos" localSheetId="36">#REF!</definedName>
    <definedName name="tablaequipos" localSheetId="38">#REF!</definedName>
    <definedName name="tablaequipos">#REF!</definedName>
    <definedName name="tablaestado">Empresas!$A$17:$C$20</definedName>
    <definedName name="tablaeuipos" localSheetId="12">#REF!</definedName>
    <definedName name="tablaeuipos" localSheetId="16">#REF!</definedName>
    <definedName name="tablaeuipos" localSheetId="17">#REF!</definedName>
    <definedName name="tablaeuipos" localSheetId="18">#REF!</definedName>
    <definedName name="tablaeuipos" localSheetId="20">#REF!</definedName>
    <definedName name="tablaeuipos" localSheetId="21">#REF!</definedName>
    <definedName name="tablaeuipos" localSheetId="22">#REF!</definedName>
    <definedName name="tablaeuipos" localSheetId="24">#REF!</definedName>
    <definedName name="tablaeuipos" localSheetId="25">#REF!</definedName>
    <definedName name="tablaeuipos" localSheetId="26">#REF!</definedName>
    <definedName name="tablaeuipos" localSheetId="30">#REF!</definedName>
    <definedName name="tablaeuipos" localSheetId="31">#REF!</definedName>
    <definedName name="tablaeuipos" localSheetId="32">#REF!</definedName>
    <definedName name="tablaeuipos" localSheetId="33">#REF!</definedName>
    <definedName name="tablaeuipos" localSheetId="34">#REF!</definedName>
    <definedName name="tablaeuipos" localSheetId="36">#REF!</definedName>
    <definedName name="tablaeuipos" localSheetId="38">#REF!</definedName>
    <definedName name="tablaeuipos" localSheetId="5">#REF!</definedName>
    <definedName name="tablaeuipos" localSheetId="4">#REF!</definedName>
    <definedName name="tablaeuipos">#REF!</definedName>
    <definedName name="tablaperdsonal" localSheetId="12">#REF!</definedName>
    <definedName name="tablaperdsonal" localSheetId="16">#REF!</definedName>
    <definedName name="tablaperdsonal" localSheetId="17">#REF!</definedName>
    <definedName name="tablaperdsonal" localSheetId="18">#REF!</definedName>
    <definedName name="tablaperdsonal" localSheetId="20">#REF!</definedName>
    <definedName name="tablaperdsonal" localSheetId="21">#REF!</definedName>
    <definedName name="tablaperdsonal" localSheetId="22">#REF!</definedName>
    <definedName name="tablaperdsonal" localSheetId="24">#REF!</definedName>
    <definedName name="tablaperdsonal" localSheetId="25">#REF!</definedName>
    <definedName name="tablaperdsonal" localSheetId="26">#REF!</definedName>
    <definedName name="tablaperdsonal" localSheetId="30">#REF!</definedName>
    <definedName name="tablaperdsonal" localSheetId="31">#REF!</definedName>
    <definedName name="tablaperdsonal" localSheetId="32">#REF!</definedName>
    <definedName name="tablaperdsonal" localSheetId="33">#REF!</definedName>
    <definedName name="tablaperdsonal" localSheetId="34">#REF!</definedName>
    <definedName name="tablaperdsonal" localSheetId="36">#REF!</definedName>
    <definedName name="tablaperdsonal" localSheetId="38">#REF!</definedName>
    <definedName name="tablaperdsonal" localSheetId="5">#REF!</definedName>
    <definedName name="tablaperdsonal" localSheetId="4">#REF!</definedName>
    <definedName name="tablaperdsonal">#REF!</definedName>
    <definedName name="tablapermiso">Empresas!$A$24:$C$27</definedName>
    <definedName name="tablapersonal" localSheetId="12">#REF!</definedName>
    <definedName name="tablapersonal" localSheetId="18">#REF!</definedName>
    <definedName name="tablapersonal" localSheetId="20">#REF!</definedName>
    <definedName name="tablapersonal" localSheetId="21">#REF!</definedName>
    <definedName name="tablapersonal" localSheetId="22">#REF!</definedName>
    <definedName name="tablapersonal" localSheetId="34">#REF!</definedName>
    <definedName name="tablapersonal" localSheetId="36">#REF!</definedName>
    <definedName name="tablapersonal" localSheetId="38">#REF!</definedName>
    <definedName name="tablapersonal">#REF!</definedName>
    <definedName name="tablastatus" localSheetId="12">Empresas!#REF!</definedName>
    <definedName name="tablastatus" localSheetId="18">Empresas!#REF!</definedName>
    <definedName name="tablastatus" localSheetId="20">Empresas!#REF!</definedName>
    <definedName name="tablastatus" localSheetId="21">Empresas!#REF!</definedName>
    <definedName name="tablastatus" localSheetId="22">Empresas!#REF!</definedName>
    <definedName name="tablastatus" localSheetId="24">Empresas!#REF!</definedName>
    <definedName name="tablastatus" localSheetId="25">Empresas!#REF!</definedName>
    <definedName name="tablastatus" localSheetId="26">Empresas!#REF!</definedName>
    <definedName name="tablastatus" localSheetId="31">Empresas!#REF!</definedName>
    <definedName name="tablastatus" localSheetId="32">Empresas!#REF!</definedName>
    <definedName name="tablastatus" localSheetId="33">Empresas!#REF!</definedName>
    <definedName name="tablastatus" localSheetId="34">Empresas!#REF!</definedName>
    <definedName name="tablastatus" localSheetId="36">Empresas!#REF!</definedName>
    <definedName name="tablastatus" localSheetId="38">Empresas!#REF!</definedName>
    <definedName name="tablastatus" localSheetId="5">Empresas!#REF!</definedName>
    <definedName name="tablastatus" localSheetId="4">Empresas!#REF!</definedName>
    <definedName name="tablastatus">Empresas!#REF!</definedName>
    <definedName name="tablatipo">Equipos!$A$113:$B$115</definedName>
    <definedName name="tablatractor">Equipos!$B$99:$I$104</definedName>
    <definedName name="tablatransporte">Equipos!$A$106:$B$111</definedName>
    <definedName name="TADANOHK70" localSheetId="21">#REF!</definedName>
    <definedName name="TADANOHK70">#REF!</definedName>
    <definedName name="termo">#REF!</definedName>
    <definedName name="tipotrasnporte" localSheetId="12">#REF!</definedName>
    <definedName name="tipotrasnporte" localSheetId="18">#REF!</definedName>
    <definedName name="tipotrasnporte" localSheetId="20">#REF!</definedName>
    <definedName name="tipotrasnporte" localSheetId="21">#REF!</definedName>
    <definedName name="tipotrasnporte" localSheetId="22">#REF!</definedName>
    <definedName name="tipotrasnporte" localSheetId="34">#REF!</definedName>
    <definedName name="tipotrasnporte" localSheetId="36">#REF!</definedName>
    <definedName name="tipotrasnporte" localSheetId="38">#REF!</definedName>
    <definedName name="tipotrasnporte">#REF!</definedName>
    <definedName name="transporte" localSheetId="12">#REF!</definedName>
    <definedName name="transporte" localSheetId="18">#REF!</definedName>
    <definedName name="transporte" localSheetId="20">#REF!</definedName>
    <definedName name="transporte" localSheetId="21">#REF!</definedName>
    <definedName name="transporte" localSheetId="22">#REF!</definedName>
    <definedName name="transporte" localSheetId="34">#REF!</definedName>
    <definedName name="transporte" localSheetId="36">#REF!</definedName>
    <definedName name="transporte" localSheetId="38">#REF!</definedName>
    <definedName name="transporte">#REF!</definedName>
    <definedName name="unidad" localSheetId="12">#REF!</definedName>
    <definedName name="unidad" localSheetId="18">#REF!</definedName>
    <definedName name="unidad" localSheetId="20">#REF!</definedName>
    <definedName name="unidad" localSheetId="21">#REF!</definedName>
    <definedName name="unidad" localSheetId="22">#REF!</definedName>
    <definedName name="unidad" localSheetId="34">#REF!</definedName>
    <definedName name="unidad" localSheetId="36">#REF!</definedName>
    <definedName name="unidad" localSheetId="38">#REF!</definedName>
    <definedName name="unidad">#REF!</definedName>
    <definedName name="ZZMNIY" localSheetId="21">#REF!</definedName>
    <definedName name="ZZMNI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27" l="1"/>
  <c r="H7" i="27"/>
  <c r="H6" i="27"/>
  <c r="B294" i="56"/>
  <c r="B293" i="56"/>
  <c r="H262" i="56"/>
  <c r="H145" i="56"/>
  <c r="E26" i="42"/>
  <c r="E25" i="42"/>
  <c r="E21" i="42"/>
  <c r="E33" i="44" l="1"/>
  <c r="E32" i="44"/>
  <c r="E28" i="44"/>
  <c r="E26" i="44"/>
  <c r="E25" i="44"/>
  <c r="E21" i="44"/>
  <c r="E19" i="71" l="1"/>
  <c r="E17" i="71"/>
  <c r="AJ82" i="56" l="1"/>
  <c r="AJ73" i="56"/>
  <c r="AJ64" i="56"/>
  <c r="AJ55" i="56"/>
  <c r="AJ37" i="56"/>
  <c r="Z82" i="56"/>
  <c r="Z73" i="56"/>
  <c r="Z64" i="56"/>
  <c r="Z55" i="56"/>
  <c r="Z37" i="56"/>
  <c r="P82" i="56"/>
  <c r="P73" i="56"/>
  <c r="P64" i="56"/>
  <c r="P55" i="56"/>
  <c r="P37" i="56"/>
  <c r="F82" i="56"/>
  <c r="F73" i="56"/>
  <c r="F64" i="56"/>
  <c r="F55" i="56"/>
  <c r="E33" i="91" l="1"/>
  <c r="E32" i="91"/>
  <c r="E28" i="91"/>
  <c r="E26" i="91"/>
  <c r="E25" i="91"/>
  <c r="E21" i="91"/>
  <c r="E19" i="91"/>
  <c r="E17" i="91"/>
  <c r="H15" i="91"/>
  <c r="H14" i="91"/>
  <c r="H13" i="91"/>
  <c r="E15" i="91"/>
  <c r="E14" i="91"/>
  <c r="E13" i="91"/>
  <c r="E10" i="91"/>
  <c r="E2" i="91"/>
  <c r="H4" i="91"/>
  <c r="E4" i="91"/>
  <c r="E6" i="91"/>
  <c r="E33" i="89"/>
  <c r="E32" i="89"/>
  <c r="E28" i="89"/>
  <c r="E26" i="89"/>
  <c r="E25" i="89"/>
  <c r="E21" i="89"/>
  <c r="E19" i="89"/>
  <c r="E17" i="89"/>
  <c r="H15" i="89"/>
  <c r="H14" i="89"/>
  <c r="H13" i="89"/>
  <c r="E15" i="89"/>
  <c r="E14" i="89"/>
  <c r="E13" i="89"/>
  <c r="E10" i="89"/>
  <c r="E2" i="89"/>
  <c r="H4" i="89"/>
  <c r="E4" i="89"/>
  <c r="E6" i="89"/>
  <c r="E33" i="88"/>
  <c r="E32" i="88"/>
  <c r="E28" i="88"/>
  <c r="E26" i="88"/>
  <c r="E25" i="88"/>
  <c r="E21" i="88"/>
  <c r="E19" i="88"/>
  <c r="E17" i="88"/>
  <c r="H15" i="88"/>
  <c r="H14" i="88"/>
  <c r="H13" i="88"/>
  <c r="E15" i="88"/>
  <c r="E14" i="88"/>
  <c r="E13" i="88"/>
  <c r="E10" i="88"/>
  <c r="E2" i="88"/>
  <c r="H4" i="88"/>
  <c r="E4" i="88"/>
  <c r="E6" i="88"/>
  <c r="E2" i="27"/>
  <c r="E33" i="27"/>
  <c r="E32" i="27"/>
  <c r="E28" i="27"/>
  <c r="E26" i="27"/>
  <c r="E25" i="27"/>
  <c r="E21" i="27"/>
  <c r="E19" i="27"/>
  <c r="E17" i="27"/>
  <c r="H15" i="27"/>
  <c r="H14" i="27"/>
  <c r="H13" i="27"/>
  <c r="E15" i="27"/>
  <c r="E14" i="27"/>
  <c r="E13" i="27"/>
  <c r="E10" i="27"/>
  <c r="E4" i="27"/>
  <c r="H4" i="27"/>
  <c r="E6" i="27"/>
  <c r="E33" i="95"/>
  <c r="E32" i="95"/>
  <c r="E28" i="95"/>
  <c r="E26" i="95"/>
  <c r="E25" i="95"/>
  <c r="E21" i="95"/>
  <c r="E19" i="95"/>
  <c r="E17" i="95"/>
  <c r="H15" i="95"/>
  <c r="H14" i="95"/>
  <c r="H13" i="95"/>
  <c r="E15" i="95"/>
  <c r="E14" i="95"/>
  <c r="E13" i="95"/>
  <c r="E10" i="95"/>
  <c r="E2" i="95"/>
  <c r="H4" i="95"/>
  <c r="E4" i="95"/>
  <c r="E6" i="95"/>
  <c r="E33" i="78"/>
  <c r="E32" i="78"/>
  <c r="E28" i="78"/>
  <c r="E26" i="78"/>
  <c r="E25" i="78"/>
  <c r="E21" i="78"/>
  <c r="E19" i="78"/>
  <c r="E17" i="78"/>
  <c r="H15" i="78"/>
  <c r="H14" i="78"/>
  <c r="H13" i="78"/>
  <c r="E15" i="78"/>
  <c r="E14" i="78"/>
  <c r="E13" i="78"/>
  <c r="E10" i="78"/>
  <c r="E2" i="78"/>
  <c r="H4" i="78"/>
  <c r="E4" i="78"/>
  <c r="E6" i="78"/>
  <c r="E33" i="73"/>
  <c r="E32" i="73"/>
  <c r="E28" i="73"/>
  <c r="E26" i="73"/>
  <c r="E25" i="73"/>
  <c r="E21" i="73"/>
  <c r="H15" i="73"/>
  <c r="H14" i="73"/>
  <c r="H13" i="73"/>
  <c r="E15" i="73"/>
  <c r="E14" i="73"/>
  <c r="E13" i="73"/>
  <c r="E10" i="73"/>
  <c r="E2" i="73"/>
  <c r="H4" i="73"/>
  <c r="E4" i="73"/>
  <c r="E6" i="73"/>
  <c r="E33" i="82"/>
  <c r="E32" i="82"/>
  <c r="E28" i="82"/>
  <c r="E26" i="82"/>
  <c r="E25" i="82"/>
  <c r="E21" i="82"/>
  <c r="E19" i="82"/>
  <c r="E17" i="82"/>
  <c r="H15" i="82"/>
  <c r="H14" i="82"/>
  <c r="H13" i="82"/>
  <c r="E15" i="82"/>
  <c r="E14" i="82"/>
  <c r="E13" i="82"/>
  <c r="E10" i="82"/>
  <c r="E2" i="82"/>
  <c r="H4" i="82"/>
  <c r="E4" i="82"/>
  <c r="E6" i="82"/>
  <c r="E33" i="64"/>
  <c r="E32" i="64"/>
  <c r="E28" i="64"/>
  <c r="E26" i="64"/>
  <c r="E25" i="64"/>
  <c r="E21" i="64"/>
  <c r="E19" i="64"/>
  <c r="E17" i="64"/>
  <c r="H15" i="64"/>
  <c r="H14" i="64"/>
  <c r="H13" i="64"/>
  <c r="E15" i="64"/>
  <c r="E14" i="64"/>
  <c r="E13" i="64"/>
  <c r="E10" i="64"/>
  <c r="E2" i="64"/>
  <c r="H4" i="64"/>
  <c r="E4" i="64"/>
  <c r="E6" i="64"/>
  <c r="E33" i="53"/>
  <c r="E32" i="53"/>
  <c r="E28" i="53"/>
  <c r="E26" i="53"/>
  <c r="E25" i="53"/>
  <c r="E21" i="53"/>
  <c r="E19" i="53"/>
  <c r="E17" i="53"/>
  <c r="H15" i="53"/>
  <c r="H14" i="53"/>
  <c r="H13" i="53"/>
  <c r="E15" i="53"/>
  <c r="E14" i="53"/>
  <c r="E13" i="53"/>
  <c r="E10" i="53"/>
  <c r="E2" i="53"/>
  <c r="H4" i="53"/>
  <c r="E4" i="53"/>
  <c r="E6" i="53"/>
  <c r="E33" i="46"/>
  <c r="E32" i="46"/>
  <c r="E28" i="46"/>
  <c r="E26" i="46"/>
  <c r="E25" i="46"/>
  <c r="E21" i="46"/>
  <c r="E19" i="46"/>
  <c r="E17" i="46"/>
  <c r="H15" i="46"/>
  <c r="H14" i="46"/>
  <c r="H13" i="46"/>
  <c r="E15" i="46"/>
  <c r="E14" i="46"/>
  <c r="E10" i="46"/>
  <c r="E13" i="46"/>
  <c r="E2" i="46"/>
  <c r="H4" i="46"/>
  <c r="E4" i="46"/>
  <c r="E6" i="46"/>
  <c r="E33" i="52"/>
  <c r="E32" i="52"/>
  <c r="E28" i="52"/>
  <c r="E26" i="52"/>
  <c r="E25" i="52"/>
  <c r="E21" i="52"/>
  <c r="E19" i="52"/>
  <c r="E17" i="52"/>
  <c r="H15" i="52"/>
  <c r="H14" i="52"/>
  <c r="H13" i="52"/>
  <c r="E15" i="52"/>
  <c r="E14" i="52"/>
  <c r="E13" i="52"/>
  <c r="E10" i="52"/>
  <c r="E2" i="52"/>
  <c r="H4" i="52"/>
  <c r="E4" i="52"/>
  <c r="E6" i="52"/>
  <c r="E33" i="72"/>
  <c r="E32" i="72"/>
  <c r="E28" i="72"/>
  <c r="E26" i="72"/>
  <c r="E25" i="72"/>
  <c r="E21" i="72"/>
  <c r="E19" i="72"/>
  <c r="E17" i="72"/>
  <c r="H15" i="72"/>
  <c r="H14" i="72"/>
  <c r="H13" i="72"/>
  <c r="E15" i="72"/>
  <c r="E14" i="72"/>
  <c r="E13" i="72"/>
  <c r="E10" i="72"/>
  <c r="E2" i="72"/>
  <c r="H4" i="72"/>
  <c r="E4" i="72"/>
  <c r="E6" i="72"/>
  <c r="E33" i="71"/>
  <c r="E32" i="71"/>
  <c r="E28" i="71"/>
  <c r="E26" i="71"/>
  <c r="E25" i="71"/>
  <c r="E21" i="71"/>
  <c r="H15" i="71"/>
  <c r="H14" i="71"/>
  <c r="H13" i="71"/>
  <c r="E15" i="71"/>
  <c r="E14" i="71"/>
  <c r="E13" i="71"/>
  <c r="E10" i="71"/>
  <c r="E2" i="71"/>
  <c r="H4" i="71"/>
  <c r="E4" i="71"/>
  <c r="E6" i="71"/>
  <c r="E33" i="69"/>
  <c r="E32" i="69"/>
  <c r="E28" i="69"/>
  <c r="E26" i="69"/>
  <c r="E25" i="69"/>
  <c r="E21" i="69"/>
  <c r="E19" i="69"/>
  <c r="E17" i="69"/>
  <c r="H15" i="69"/>
  <c r="H14" i="69"/>
  <c r="H13" i="69"/>
  <c r="E15" i="69"/>
  <c r="E14" i="69"/>
  <c r="E13" i="69"/>
  <c r="E10" i="69"/>
  <c r="E2" i="69"/>
  <c r="H4" i="69"/>
  <c r="E4" i="69"/>
  <c r="E6" i="69"/>
  <c r="E33" i="97"/>
  <c r="E32" i="97"/>
  <c r="E28" i="97"/>
  <c r="E26" i="97"/>
  <c r="E25" i="97"/>
  <c r="E21" i="97"/>
  <c r="H15" i="97"/>
  <c r="H14" i="97"/>
  <c r="H13" i="97"/>
  <c r="E15" i="97"/>
  <c r="E14" i="97"/>
  <c r="E13" i="97"/>
  <c r="E10" i="97"/>
  <c r="E2" i="97"/>
  <c r="H4" i="97"/>
  <c r="E4" i="97"/>
  <c r="E6" i="97"/>
  <c r="E8" i="97" s="1"/>
  <c r="H2" i="97"/>
  <c r="E17" i="97"/>
  <c r="E19" i="97"/>
  <c r="E33" i="87"/>
  <c r="E32" i="87"/>
  <c r="E28" i="87"/>
  <c r="E26" i="87"/>
  <c r="E25" i="87"/>
  <c r="E21" i="87"/>
  <c r="H15" i="87"/>
  <c r="H14" i="87"/>
  <c r="H13" i="87"/>
  <c r="E15" i="87"/>
  <c r="E14" i="87"/>
  <c r="E13" i="87"/>
  <c r="E10" i="87"/>
  <c r="E2" i="87"/>
  <c r="H4" i="87"/>
  <c r="E4" i="87"/>
  <c r="E6" i="87"/>
  <c r="E33" i="96"/>
  <c r="E32" i="96"/>
  <c r="E28" i="96"/>
  <c r="E26" i="96"/>
  <c r="E25" i="96"/>
  <c r="E21" i="96"/>
  <c r="E19" i="96"/>
  <c r="E17" i="96"/>
  <c r="H15" i="96"/>
  <c r="H14" i="96"/>
  <c r="H13" i="96"/>
  <c r="E15" i="96"/>
  <c r="E14" i="96"/>
  <c r="E13" i="96"/>
  <c r="E10" i="96"/>
  <c r="E2" i="96"/>
  <c r="H4" i="96"/>
  <c r="E4" i="96"/>
  <c r="E6" i="96"/>
  <c r="E33" i="86"/>
  <c r="E32" i="86"/>
  <c r="E28" i="86"/>
  <c r="E26" i="86"/>
  <c r="E25" i="86"/>
  <c r="E21" i="86"/>
  <c r="E19" i="86"/>
  <c r="E17" i="86"/>
  <c r="H15" i="86"/>
  <c r="H14" i="86"/>
  <c r="H13" i="86"/>
  <c r="E15" i="86"/>
  <c r="E14" i="86"/>
  <c r="E13" i="86"/>
  <c r="E10" i="86"/>
  <c r="E2" i="86"/>
  <c r="H4" i="86"/>
  <c r="E4" i="86"/>
  <c r="E6" i="86"/>
  <c r="E33" i="47"/>
  <c r="E32" i="47"/>
  <c r="E28" i="47"/>
  <c r="E26" i="47"/>
  <c r="E25" i="47"/>
  <c r="E21" i="47"/>
  <c r="H15" i="47"/>
  <c r="H14" i="47"/>
  <c r="H13" i="47"/>
  <c r="E15" i="47"/>
  <c r="E14" i="47"/>
  <c r="E13" i="47"/>
  <c r="E10" i="47"/>
  <c r="E2" i="47"/>
  <c r="H4" i="47"/>
  <c r="E4" i="47"/>
  <c r="E6" i="47"/>
  <c r="E33" i="93"/>
  <c r="E32" i="93"/>
  <c r="E28" i="93"/>
  <c r="E26" i="93"/>
  <c r="E25" i="93"/>
  <c r="E21" i="93"/>
  <c r="E19" i="93"/>
  <c r="E17" i="93"/>
  <c r="H15" i="93"/>
  <c r="H14" i="93"/>
  <c r="H13" i="93"/>
  <c r="E15" i="93"/>
  <c r="E14" i="93"/>
  <c r="E13" i="93"/>
  <c r="E10" i="93"/>
  <c r="E6" i="93"/>
  <c r="H4" i="93"/>
  <c r="E4" i="93"/>
  <c r="E2" i="93"/>
  <c r="E33" i="63"/>
  <c r="E32" i="63"/>
  <c r="E28" i="63"/>
  <c r="E26" i="63"/>
  <c r="E25" i="63"/>
  <c r="E21" i="63"/>
  <c r="H15" i="63"/>
  <c r="H14" i="63"/>
  <c r="H13" i="63"/>
  <c r="E15" i="63"/>
  <c r="E14" i="63"/>
  <c r="E13" i="63"/>
  <c r="E10" i="63"/>
  <c r="H4" i="63"/>
  <c r="E4" i="63"/>
  <c r="E2" i="63"/>
  <c r="E6" i="63"/>
  <c r="E33" i="62"/>
  <c r="E32" i="62"/>
  <c r="E28" i="62"/>
  <c r="E26" i="62"/>
  <c r="E25" i="62"/>
  <c r="E21" i="62"/>
  <c r="E19" i="62"/>
  <c r="E17" i="62"/>
  <c r="H15" i="62"/>
  <c r="H14" i="62"/>
  <c r="H13" i="62"/>
  <c r="E15" i="62"/>
  <c r="E14" i="62"/>
  <c r="E13" i="62"/>
  <c r="E10" i="62"/>
  <c r="H4" i="62"/>
  <c r="E2" i="62"/>
  <c r="E4" i="62"/>
  <c r="E6" i="62"/>
  <c r="E33" i="51"/>
  <c r="E32" i="51"/>
  <c r="E28" i="51"/>
  <c r="E26" i="51"/>
  <c r="E25" i="51"/>
  <c r="E21" i="51"/>
  <c r="E19" i="51"/>
  <c r="E17" i="51"/>
  <c r="H15" i="51"/>
  <c r="H14" i="51"/>
  <c r="H13" i="51"/>
  <c r="E15" i="51"/>
  <c r="E14" i="51"/>
  <c r="E13" i="51"/>
  <c r="E10" i="51"/>
  <c r="H4" i="51"/>
  <c r="E2" i="51"/>
  <c r="E4" i="51"/>
  <c r="E6" i="51"/>
  <c r="E33" i="50"/>
  <c r="E32" i="50"/>
  <c r="E28" i="50"/>
  <c r="E26" i="50"/>
  <c r="E25" i="50"/>
  <c r="E21" i="50"/>
  <c r="E19" i="50"/>
  <c r="E17" i="50"/>
  <c r="H15" i="50"/>
  <c r="H14" i="50"/>
  <c r="H13" i="50"/>
  <c r="E15" i="50"/>
  <c r="E14" i="50"/>
  <c r="E13" i="50"/>
  <c r="E10" i="50"/>
  <c r="G10" i="50"/>
  <c r="E6" i="50"/>
  <c r="H4" i="50"/>
  <c r="E2" i="50"/>
  <c r="E4" i="50"/>
  <c r="E33" i="48"/>
  <c r="E32" i="48"/>
  <c r="E28" i="48"/>
  <c r="E26" i="48"/>
  <c r="E25" i="48"/>
  <c r="E21" i="48"/>
  <c r="E19" i="48"/>
  <c r="E17" i="48"/>
  <c r="H15" i="48"/>
  <c r="H14" i="48"/>
  <c r="H13" i="48"/>
  <c r="E15" i="48"/>
  <c r="E14" i="48"/>
  <c r="E13" i="48"/>
  <c r="E10" i="48"/>
  <c r="E4" i="48"/>
  <c r="E6" i="48"/>
  <c r="G10" i="48"/>
  <c r="H4" i="48"/>
  <c r="H8" i="97" l="1"/>
  <c r="H7" i="97"/>
  <c r="H6" i="97"/>
  <c r="E7" i="97"/>
  <c r="E2" i="48" l="1"/>
  <c r="E33" i="94"/>
  <c r="E32" i="94"/>
  <c r="E28" i="94"/>
  <c r="E26" i="94"/>
  <c r="E25" i="94"/>
  <c r="E21" i="94"/>
  <c r="E19" i="94" l="1"/>
  <c r="E17" i="94"/>
  <c r="H15" i="94"/>
  <c r="H14" i="94"/>
  <c r="H13" i="94"/>
  <c r="E15" i="94"/>
  <c r="E14" i="94"/>
  <c r="E13" i="94"/>
  <c r="E10" i="94"/>
  <c r="G10" i="94"/>
  <c r="H4" i="94"/>
  <c r="E4" i="94"/>
  <c r="E6" i="94"/>
  <c r="E2" i="94"/>
  <c r="E33" i="49"/>
  <c r="E32" i="49"/>
  <c r="E28" i="49"/>
  <c r="E26" i="49"/>
  <c r="E25" i="49"/>
  <c r="E21" i="49"/>
  <c r="E19" i="49"/>
  <c r="E17" i="49"/>
  <c r="G10" i="49"/>
  <c r="H15" i="49"/>
  <c r="H13" i="49"/>
  <c r="H14" i="49"/>
  <c r="E15" i="49"/>
  <c r="E14" i="49"/>
  <c r="E13" i="49"/>
  <c r="E10" i="49"/>
  <c r="H4" i="49"/>
  <c r="E4" i="49"/>
  <c r="E2" i="49"/>
  <c r="E6" i="49"/>
  <c r="E33" i="43"/>
  <c r="E32" i="43"/>
  <c r="E28" i="43"/>
  <c r="E26" i="43"/>
  <c r="E25" i="43"/>
  <c r="E21" i="43"/>
  <c r="H4" i="43"/>
  <c r="H15" i="43"/>
  <c r="H14" i="43"/>
  <c r="H13" i="43"/>
  <c r="E15" i="43"/>
  <c r="E14" i="43"/>
  <c r="E13" i="43"/>
  <c r="E10" i="43"/>
  <c r="E6" i="43"/>
  <c r="E4" i="43"/>
  <c r="E2" i="43"/>
  <c r="E33" i="40"/>
  <c r="E32" i="40"/>
  <c r="E28" i="40"/>
  <c r="E26" i="40"/>
  <c r="E25" i="40"/>
  <c r="E21" i="40"/>
  <c r="E19" i="40"/>
  <c r="E17" i="40"/>
  <c r="H15" i="40"/>
  <c r="H14" i="40"/>
  <c r="H13" i="40"/>
  <c r="E15" i="40"/>
  <c r="E14" i="40"/>
  <c r="E13" i="40"/>
  <c r="E10" i="40"/>
  <c r="G10" i="40"/>
  <c r="E6" i="40"/>
  <c r="H4" i="40"/>
  <c r="E4" i="40"/>
  <c r="E2" i="40"/>
  <c r="E33" i="42"/>
  <c r="E32" i="42"/>
  <c r="E28" i="42"/>
  <c r="E19" i="42"/>
  <c r="E17" i="42"/>
  <c r="E2" i="42"/>
  <c r="H15" i="42"/>
  <c r="H14" i="42"/>
  <c r="H13" i="42"/>
  <c r="E15" i="42"/>
  <c r="E14" i="42"/>
  <c r="E13" i="42"/>
  <c r="E10" i="42"/>
  <c r="E19" i="44"/>
  <c r="E17" i="44"/>
  <c r="H15" i="44"/>
  <c r="H13" i="44"/>
  <c r="H14" i="44"/>
  <c r="E15" i="44"/>
  <c r="E14" i="44"/>
  <c r="E13" i="44"/>
  <c r="E10" i="44"/>
  <c r="H4" i="42"/>
  <c r="E6" i="42"/>
  <c r="E4" i="42"/>
  <c r="H4" i="44"/>
  <c r="E4" i="44"/>
  <c r="E6" i="44"/>
  <c r="E2" i="44"/>
  <c r="E19" i="45"/>
  <c r="E2" i="45"/>
  <c r="AL298" i="56" l="1"/>
  <c r="AB298" i="56"/>
  <c r="R298" i="56"/>
  <c r="H298" i="56"/>
  <c r="B298" i="56"/>
  <c r="B296" i="56"/>
  <c r="B295" i="56"/>
  <c r="AL289" i="56"/>
  <c r="AB289" i="56"/>
  <c r="R289" i="56"/>
  <c r="H289" i="56"/>
  <c r="B289" i="56"/>
  <c r="B287" i="56"/>
  <c r="B286" i="56"/>
  <c r="B285" i="56"/>
  <c r="B284" i="56"/>
  <c r="AL280" i="56"/>
  <c r="AB280" i="56"/>
  <c r="R280" i="56"/>
  <c r="H280" i="56"/>
  <c r="B280" i="56"/>
  <c r="B278" i="56"/>
  <c r="B277" i="56"/>
  <c r="B276" i="56"/>
  <c r="B275" i="56"/>
  <c r="AL271" i="56"/>
  <c r="AB271" i="56"/>
  <c r="R271" i="56"/>
  <c r="H271" i="56"/>
  <c r="B271" i="56"/>
  <c r="B269" i="56"/>
  <c r="B268" i="56"/>
  <c r="B267" i="56"/>
  <c r="B266" i="56"/>
  <c r="AL262" i="56"/>
  <c r="AB262" i="56"/>
  <c r="R262" i="56"/>
  <c r="B262" i="56"/>
  <c r="B260" i="56"/>
  <c r="B259" i="56"/>
  <c r="B258" i="56"/>
  <c r="B257" i="56"/>
  <c r="AL253" i="56"/>
  <c r="AB253" i="56"/>
  <c r="R253" i="56"/>
  <c r="H253" i="56"/>
  <c r="B253" i="56"/>
  <c r="B251" i="56"/>
  <c r="B250" i="56"/>
  <c r="B249" i="56"/>
  <c r="B248" i="56"/>
  <c r="AL244" i="56"/>
  <c r="AB244" i="56"/>
  <c r="R244" i="56"/>
  <c r="H244" i="56"/>
  <c r="B244" i="56"/>
  <c r="B242" i="56"/>
  <c r="B241" i="56"/>
  <c r="B240" i="56"/>
  <c r="B239" i="56"/>
  <c r="AL235" i="56"/>
  <c r="AB235" i="56"/>
  <c r="R235" i="56"/>
  <c r="H235" i="56"/>
  <c r="B235" i="56"/>
  <c r="B233" i="56"/>
  <c r="B232" i="56"/>
  <c r="B231" i="56"/>
  <c r="B230" i="56"/>
  <c r="AL226" i="56"/>
  <c r="AB226" i="56"/>
  <c r="R226" i="56"/>
  <c r="H226" i="56"/>
  <c r="B226" i="56"/>
  <c r="B224" i="56"/>
  <c r="B223" i="56"/>
  <c r="B222" i="56"/>
  <c r="B221" i="56"/>
  <c r="AL217" i="56"/>
  <c r="AB217" i="56"/>
  <c r="R217" i="56"/>
  <c r="H217" i="56"/>
  <c r="B217" i="56"/>
  <c r="B215" i="56"/>
  <c r="B214" i="56"/>
  <c r="B213" i="56"/>
  <c r="B212" i="56"/>
  <c r="AL208" i="56"/>
  <c r="AB208" i="56"/>
  <c r="R208" i="56"/>
  <c r="H208" i="56"/>
  <c r="B208" i="56"/>
  <c r="B206" i="56"/>
  <c r="B205" i="56"/>
  <c r="B204" i="56"/>
  <c r="B203" i="56"/>
  <c r="AL199" i="56"/>
  <c r="AB199" i="56"/>
  <c r="R199" i="56"/>
  <c r="H199" i="56"/>
  <c r="B199" i="56"/>
  <c r="B197" i="56"/>
  <c r="B196" i="56"/>
  <c r="B195" i="56"/>
  <c r="B194" i="56"/>
  <c r="AL190" i="56"/>
  <c r="AB190" i="56"/>
  <c r="R190" i="56"/>
  <c r="H190" i="56"/>
  <c r="B190" i="56"/>
  <c r="B188" i="56"/>
  <c r="B187" i="56"/>
  <c r="B186" i="56"/>
  <c r="B185" i="56"/>
  <c r="AL181" i="56"/>
  <c r="AB181" i="56"/>
  <c r="R181" i="56"/>
  <c r="H181" i="56"/>
  <c r="B181" i="56"/>
  <c r="B179" i="56"/>
  <c r="B178" i="56"/>
  <c r="B177" i="56"/>
  <c r="B176" i="56"/>
  <c r="AL172" i="56"/>
  <c r="AB172" i="56"/>
  <c r="R172" i="56"/>
  <c r="H172" i="56"/>
  <c r="B172" i="56"/>
  <c r="B170" i="56"/>
  <c r="B169" i="56"/>
  <c r="B168" i="56"/>
  <c r="B167" i="56"/>
  <c r="AL163" i="56"/>
  <c r="AB163" i="56"/>
  <c r="R163" i="56"/>
  <c r="H163" i="56"/>
  <c r="B163" i="56"/>
  <c r="B161" i="56"/>
  <c r="B160" i="56"/>
  <c r="B159" i="56"/>
  <c r="B158" i="56"/>
  <c r="AL154" i="56"/>
  <c r="AB154" i="56"/>
  <c r="R154" i="56"/>
  <c r="H154" i="56"/>
  <c r="B154" i="56"/>
  <c r="B152" i="56"/>
  <c r="B151" i="56"/>
  <c r="B150" i="56"/>
  <c r="B149" i="56"/>
  <c r="AL145" i="56"/>
  <c r="AB145" i="56"/>
  <c r="R145" i="56"/>
  <c r="B145" i="56"/>
  <c r="B143" i="56"/>
  <c r="B142" i="56"/>
  <c r="B141" i="56"/>
  <c r="B140" i="56"/>
  <c r="AL136" i="56"/>
  <c r="AB136" i="56"/>
  <c r="R136" i="56"/>
  <c r="H136" i="56"/>
  <c r="B136" i="56"/>
  <c r="B134" i="56"/>
  <c r="B133" i="56"/>
  <c r="B132" i="56"/>
  <c r="B131" i="56"/>
  <c r="AL127" i="56"/>
  <c r="AB127" i="56"/>
  <c r="R127" i="56"/>
  <c r="H127" i="56"/>
  <c r="B127" i="56"/>
  <c r="B125" i="56"/>
  <c r="B124" i="56"/>
  <c r="B123" i="56"/>
  <c r="B122" i="56"/>
  <c r="AL118" i="56"/>
  <c r="AB118" i="56"/>
  <c r="R118" i="56"/>
  <c r="H118" i="56"/>
  <c r="B118" i="56"/>
  <c r="B116" i="56"/>
  <c r="B115" i="56"/>
  <c r="B114" i="56"/>
  <c r="B113" i="56"/>
  <c r="AL109" i="56"/>
  <c r="AB109" i="56"/>
  <c r="R109" i="56"/>
  <c r="H109" i="56"/>
  <c r="B109" i="56"/>
  <c r="B107" i="56"/>
  <c r="B106" i="56"/>
  <c r="B105" i="56"/>
  <c r="B104" i="56"/>
  <c r="AL100" i="56"/>
  <c r="AB100" i="56"/>
  <c r="R100" i="56"/>
  <c r="H100" i="56"/>
  <c r="B100" i="56"/>
  <c r="B98" i="56"/>
  <c r="B97" i="56"/>
  <c r="B96" i="56"/>
  <c r="B95" i="56"/>
  <c r="AL91" i="56"/>
  <c r="AB91" i="56"/>
  <c r="R91" i="56"/>
  <c r="H91" i="56"/>
  <c r="B91" i="56"/>
  <c r="B89" i="56"/>
  <c r="B88" i="56"/>
  <c r="B87" i="56"/>
  <c r="B86" i="56"/>
  <c r="AL82" i="56" l="1"/>
  <c r="AB82" i="56"/>
  <c r="R82" i="56"/>
  <c r="H82" i="56"/>
  <c r="B82" i="56"/>
  <c r="B80" i="56"/>
  <c r="B79" i="56"/>
  <c r="B78" i="56"/>
  <c r="B77" i="56"/>
  <c r="AL73" i="56"/>
  <c r="AB73" i="56"/>
  <c r="R73" i="56"/>
  <c r="H73" i="56"/>
  <c r="B73" i="56"/>
  <c r="B71" i="56"/>
  <c r="B70" i="56"/>
  <c r="B69" i="56"/>
  <c r="B68" i="56"/>
  <c r="AL64" i="56"/>
  <c r="AB64" i="56"/>
  <c r="R64" i="56"/>
  <c r="H64" i="56"/>
  <c r="B64" i="56"/>
  <c r="B62" i="56"/>
  <c r="B61" i="56"/>
  <c r="B60" i="56"/>
  <c r="B59" i="56"/>
  <c r="AL55" i="56"/>
  <c r="AB55" i="56"/>
  <c r="R55" i="56"/>
  <c r="H55" i="56"/>
  <c r="B55" i="56"/>
  <c r="B53" i="56"/>
  <c r="B52" i="56"/>
  <c r="B51" i="56"/>
  <c r="B50" i="56"/>
  <c r="AL46" i="56"/>
  <c r="AB46" i="56"/>
  <c r="R46" i="56"/>
  <c r="H46" i="56"/>
  <c r="B46" i="56"/>
  <c r="B44" i="56"/>
  <c r="B43" i="56"/>
  <c r="B42" i="56"/>
  <c r="B41" i="56"/>
  <c r="F37" i="56"/>
  <c r="AL37" i="56"/>
  <c r="AB37" i="56"/>
  <c r="R37" i="56"/>
  <c r="H37" i="56"/>
  <c r="B37" i="56"/>
  <c r="B35" i="56"/>
  <c r="B34" i="56"/>
  <c r="B33" i="56"/>
  <c r="B32" i="56"/>
  <c r="AL28" i="56"/>
  <c r="AB28" i="56"/>
  <c r="R28" i="56"/>
  <c r="H28" i="56"/>
  <c r="B28" i="56"/>
  <c r="B26" i="56"/>
  <c r="B25" i="56"/>
  <c r="B24" i="56"/>
  <c r="B23" i="56"/>
  <c r="AL19" i="56"/>
  <c r="AB19" i="56"/>
  <c r="R19" i="56"/>
  <c r="H19" i="56"/>
  <c r="B19" i="56"/>
  <c r="B17" i="56"/>
  <c r="B16" i="56"/>
  <c r="B15" i="56"/>
  <c r="B14" i="56"/>
  <c r="AL10" i="56"/>
  <c r="AB10" i="56"/>
  <c r="R10" i="56"/>
  <c r="H11" i="49" l="1"/>
  <c r="G11" i="49" l="1"/>
  <c r="H10" i="49"/>
  <c r="E8" i="88" l="1"/>
  <c r="E7" i="88" l="1"/>
  <c r="H8" i="88"/>
  <c r="H6" i="88"/>
  <c r="H7" i="88"/>
  <c r="H11" i="40" l="1"/>
  <c r="H10" i="40" l="1"/>
  <c r="G11" i="40"/>
  <c r="H6" i="96" l="1"/>
  <c r="H2" i="96"/>
  <c r="E8" i="96" l="1"/>
  <c r="H8" i="96"/>
  <c r="E7" i="96"/>
  <c r="H7" i="96"/>
  <c r="H11" i="94" l="1"/>
  <c r="H10" i="94" l="1"/>
  <c r="G11" i="94"/>
  <c r="E8" i="95" l="1"/>
  <c r="H2" i="95"/>
  <c r="H6" i="95" l="1"/>
  <c r="H8" i="95"/>
  <c r="E7" i="95"/>
  <c r="H7" i="95"/>
  <c r="H6" i="78" l="1"/>
  <c r="E8" i="78" l="1"/>
  <c r="H2" i="78"/>
  <c r="E8" i="94"/>
  <c r="H2" i="94"/>
  <c r="H8" i="78" l="1"/>
  <c r="E7" i="78"/>
  <c r="H7" i="78"/>
  <c r="H6" i="94"/>
  <c r="H8" i="94"/>
  <c r="E7" i="94"/>
  <c r="H7" i="94"/>
  <c r="A16" i="77" l="1"/>
  <c r="B16" i="77" s="1"/>
  <c r="H16" i="77"/>
  <c r="H17" i="77"/>
  <c r="B18" i="77"/>
  <c r="H18" i="77"/>
  <c r="B19" i="77"/>
  <c r="E19" i="77"/>
  <c r="H20" i="77"/>
  <c r="C21" i="77"/>
  <c r="H21" i="77"/>
  <c r="C22" i="77"/>
  <c r="E22" i="77"/>
  <c r="H22" i="77"/>
  <c r="C23" i="77"/>
  <c r="C25" i="77"/>
  <c r="H25" i="77"/>
  <c r="C26" i="77"/>
  <c r="E16" i="77" l="1"/>
  <c r="D16" i="77"/>
  <c r="C16" i="77"/>
  <c r="H6" i="73" l="1"/>
  <c r="H8" i="73" l="1"/>
  <c r="H7" i="73"/>
  <c r="D386" i="56" l="1"/>
  <c r="D384" i="56"/>
  <c r="D376" i="56"/>
  <c r="D374" i="56"/>
  <c r="D366" i="56"/>
  <c r="D364" i="56"/>
  <c r="D356" i="56"/>
  <c r="D354" i="56"/>
  <c r="D346" i="56"/>
  <c r="D344" i="56"/>
  <c r="D336" i="56"/>
  <c r="D334" i="56"/>
  <c r="D326" i="56"/>
  <c r="D324" i="56"/>
  <c r="D316" i="56"/>
  <c r="C19" i="77" s="1"/>
  <c r="D314" i="56"/>
  <c r="C18" i="77" s="1"/>
  <c r="D416" i="56" l="1"/>
  <c r="D406" i="56"/>
  <c r="D396" i="56"/>
  <c r="D9" i="90" l="1"/>
  <c r="D10" i="90"/>
  <c r="D11" i="90"/>
  <c r="D12" i="90"/>
  <c r="D13" i="90"/>
  <c r="D8" i="90"/>
  <c r="D414" i="56"/>
  <c r="D404" i="56"/>
  <c r="D394" i="56"/>
  <c r="D304" i="56"/>
  <c r="H7" i="93"/>
  <c r="H2" i="93"/>
  <c r="H7" i="91"/>
  <c r="H2" i="91"/>
  <c r="H7" i="89"/>
  <c r="H2" i="89"/>
  <c r="H2" i="88"/>
  <c r="E7" i="93" l="1"/>
  <c r="E8" i="93"/>
  <c r="H6" i="93"/>
  <c r="H8" i="93"/>
  <c r="H6" i="91"/>
  <c r="H8" i="91"/>
  <c r="H6" i="89"/>
  <c r="H8" i="89"/>
  <c r="C5" i="90" l="1"/>
  <c r="E410" i="56" l="1"/>
  <c r="E400" i="56"/>
  <c r="E390" i="56"/>
  <c r="E380" i="56"/>
  <c r="E370" i="56"/>
  <c r="E360" i="56"/>
  <c r="E350" i="56"/>
  <c r="E340" i="56"/>
  <c r="E330" i="56"/>
  <c r="E320" i="56"/>
  <c r="E310" i="56"/>
  <c r="E300" i="56"/>
  <c r="B8" i="56"/>
  <c r="B7" i="56"/>
  <c r="B6" i="56"/>
  <c r="B5" i="56" l="1"/>
  <c r="H418" i="56" l="1"/>
  <c r="H408" i="56"/>
  <c r="H398" i="56"/>
  <c r="H388" i="56"/>
  <c r="H378" i="56"/>
  <c r="H368" i="56"/>
  <c r="H358" i="56"/>
  <c r="H348" i="56"/>
  <c r="H338" i="56"/>
  <c r="H328" i="56"/>
  <c r="H318" i="56"/>
  <c r="E19" i="54" l="1"/>
  <c r="E17" i="54"/>
  <c r="E19" i="73"/>
  <c r="E17" i="73"/>
  <c r="H2" i="86" l="1"/>
  <c r="E19" i="87"/>
  <c r="E17" i="87"/>
  <c r="H2" i="87"/>
  <c r="E8" i="87" l="1"/>
  <c r="H7" i="87"/>
  <c r="E7" i="87"/>
  <c r="H6" i="87"/>
  <c r="H8" i="87"/>
  <c r="H8" i="86"/>
  <c r="H7" i="86"/>
  <c r="E7" i="86"/>
  <c r="E8" i="86"/>
  <c r="H6" i="86"/>
  <c r="G11" i="50" l="1"/>
  <c r="H10" i="48"/>
  <c r="G11" i="48" l="1"/>
  <c r="H11" i="48"/>
  <c r="H11" i="50"/>
  <c r="H10" i="50"/>
  <c r="B414" i="56" l="1"/>
  <c r="B413" i="56"/>
  <c r="B412" i="56"/>
  <c r="B411" i="56"/>
  <c r="B404" i="56"/>
  <c r="B403" i="56"/>
  <c r="B402" i="56"/>
  <c r="B401" i="56"/>
  <c r="B394" i="56"/>
  <c r="B393" i="56"/>
  <c r="B392" i="56"/>
  <c r="B391" i="56"/>
  <c r="B384" i="56"/>
  <c r="B383" i="56"/>
  <c r="B382" i="56"/>
  <c r="B381" i="56"/>
  <c r="B374" i="56"/>
  <c r="B373" i="56"/>
  <c r="B372" i="56"/>
  <c r="B371" i="56"/>
  <c r="B364" i="56"/>
  <c r="B363" i="56"/>
  <c r="B362" i="56"/>
  <c r="B361" i="56"/>
  <c r="B354" i="56"/>
  <c r="B353" i="56"/>
  <c r="B352" i="56"/>
  <c r="B351" i="56"/>
  <c r="B344" i="56"/>
  <c r="B343" i="56"/>
  <c r="B342" i="56"/>
  <c r="B341" i="56"/>
  <c r="B334" i="56"/>
  <c r="B333" i="56"/>
  <c r="B332" i="56"/>
  <c r="B331" i="56"/>
  <c r="B324" i="56"/>
  <c r="B323" i="56"/>
  <c r="B322" i="56"/>
  <c r="B321" i="56"/>
  <c r="B314" i="56"/>
  <c r="B313" i="56"/>
  <c r="B312" i="56"/>
  <c r="B311" i="56"/>
  <c r="D306" i="56"/>
  <c r="B304" i="56" l="1"/>
  <c r="B303" i="56"/>
  <c r="B302" i="56"/>
  <c r="B301" i="56"/>
  <c r="H2" i="49"/>
  <c r="E6" i="45"/>
  <c r="H2" i="82"/>
  <c r="B10" i="56"/>
  <c r="E8" i="50" l="1"/>
  <c r="E7" i="50"/>
  <c r="H8" i="50"/>
  <c r="H6" i="50"/>
  <c r="H7" i="50"/>
  <c r="E8" i="62"/>
  <c r="H7" i="62"/>
  <c r="E7" i="62"/>
  <c r="H6" i="62"/>
  <c r="H8" i="62"/>
  <c r="H6" i="45"/>
  <c r="H8" i="45"/>
  <c r="H7" i="45"/>
  <c r="H6" i="63"/>
  <c r="H7" i="63"/>
  <c r="E8" i="63"/>
  <c r="H8" i="63"/>
  <c r="E7" i="63"/>
  <c r="H8" i="82"/>
  <c r="H7" i="82"/>
  <c r="E8" i="82"/>
  <c r="H6" i="82"/>
  <c r="E7" i="82"/>
  <c r="E8" i="49"/>
  <c r="H7" i="49"/>
  <c r="E7" i="49"/>
  <c r="H6" i="49"/>
  <c r="H8" i="49"/>
  <c r="E8" i="47"/>
  <c r="E7" i="47"/>
  <c r="H8" i="47"/>
  <c r="H7" i="47"/>
  <c r="H6" i="47"/>
  <c r="E7" i="45"/>
  <c r="E34" i="81"/>
  <c r="E31" i="81"/>
  <c r="E22" i="81"/>
  <c r="E19" i="81"/>
  <c r="E10" i="81"/>
  <c r="E7" i="81"/>
  <c r="E34" i="79"/>
  <c r="E31" i="79"/>
  <c r="E22" i="79"/>
  <c r="E19" i="79"/>
  <c r="E10" i="79"/>
  <c r="E7" i="79"/>
  <c r="E70" i="77"/>
  <c r="E67" i="77"/>
  <c r="E58" i="77"/>
  <c r="E55" i="77"/>
  <c r="E46" i="77"/>
  <c r="E43" i="77"/>
  <c r="E34" i="77"/>
  <c r="E31" i="77"/>
  <c r="E10" i="77"/>
  <c r="E7" i="77"/>
  <c r="H37" i="81" l="1"/>
  <c r="H34" i="81"/>
  <c r="H33" i="81"/>
  <c r="H32" i="81"/>
  <c r="H30" i="81"/>
  <c r="H29" i="81"/>
  <c r="H28" i="81"/>
  <c r="C38" i="81"/>
  <c r="C37" i="81"/>
  <c r="C35" i="81"/>
  <c r="C34" i="81"/>
  <c r="C33" i="81"/>
  <c r="C31" i="81"/>
  <c r="C30" i="81"/>
  <c r="B31" i="81"/>
  <c r="B30" i="81"/>
  <c r="A28" i="81"/>
  <c r="H25" i="81"/>
  <c r="H22" i="81"/>
  <c r="H21" i="81"/>
  <c r="H20" i="81"/>
  <c r="H18" i="81"/>
  <c r="H17" i="81"/>
  <c r="H16" i="81"/>
  <c r="C26" i="81"/>
  <c r="C25" i="81"/>
  <c r="C23" i="81"/>
  <c r="C22" i="81"/>
  <c r="C21" i="81"/>
  <c r="C19" i="81"/>
  <c r="C18" i="81"/>
  <c r="B19" i="81"/>
  <c r="B18" i="81"/>
  <c r="A16" i="81"/>
  <c r="H13" i="81"/>
  <c r="H10" i="81"/>
  <c r="H9" i="81"/>
  <c r="H8" i="81"/>
  <c r="H6" i="81"/>
  <c r="H5" i="81"/>
  <c r="H4" i="81"/>
  <c r="C14" i="81"/>
  <c r="C13" i="81"/>
  <c r="C11" i="81"/>
  <c r="C10" i="81"/>
  <c r="C9" i="81"/>
  <c r="B7" i="81"/>
  <c r="B6" i="81"/>
  <c r="A4" i="81"/>
  <c r="C7" i="81"/>
  <c r="C6" i="81"/>
  <c r="B1" i="81"/>
  <c r="H37" i="79"/>
  <c r="H34" i="79"/>
  <c r="H33" i="79"/>
  <c r="H32" i="79"/>
  <c r="H30" i="79"/>
  <c r="H29" i="79"/>
  <c r="H28" i="79"/>
  <c r="C38" i="79"/>
  <c r="C37" i="79"/>
  <c r="C35" i="79"/>
  <c r="C34" i="79"/>
  <c r="C33" i="79"/>
  <c r="C30" i="79"/>
  <c r="B31" i="79"/>
  <c r="B30" i="79"/>
  <c r="A28" i="79"/>
  <c r="H25" i="79"/>
  <c r="H22" i="79"/>
  <c r="H21" i="79"/>
  <c r="H20" i="79"/>
  <c r="H18" i="79"/>
  <c r="H17" i="79"/>
  <c r="H16" i="79"/>
  <c r="C26" i="79"/>
  <c r="C25" i="79"/>
  <c r="C23" i="79"/>
  <c r="C22" i="79"/>
  <c r="C21" i="79"/>
  <c r="B19" i="79"/>
  <c r="B18" i="79"/>
  <c r="A16" i="79"/>
  <c r="H13" i="79"/>
  <c r="H10" i="79"/>
  <c r="H9" i="79"/>
  <c r="H8" i="79"/>
  <c r="H6" i="79"/>
  <c r="H5" i="79"/>
  <c r="H4" i="79"/>
  <c r="C14" i="79"/>
  <c r="C13" i="79"/>
  <c r="C11" i="79"/>
  <c r="C10" i="79"/>
  <c r="C9" i="79"/>
  <c r="B7" i="79"/>
  <c r="B6" i="79"/>
  <c r="A4" i="79"/>
  <c r="C31" i="79"/>
  <c r="C19" i="79"/>
  <c r="C7" i="79"/>
  <c r="C6" i="79"/>
  <c r="C43" i="77"/>
  <c r="B1" i="79"/>
  <c r="H73" i="77"/>
  <c r="H70" i="77"/>
  <c r="H69" i="77"/>
  <c r="H68" i="77"/>
  <c r="H66" i="77"/>
  <c r="H65" i="77"/>
  <c r="H64" i="77"/>
  <c r="C74" i="77"/>
  <c r="C73" i="77"/>
  <c r="C71" i="77"/>
  <c r="C70" i="77"/>
  <c r="C69" i="77"/>
  <c r="B67" i="77"/>
  <c r="B66" i="77"/>
  <c r="A64" i="77"/>
  <c r="H61" i="77"/>
  <c r="H58" i="77"/>
  <c r="H57" i="77"/>
  <c r="H56" i="77"/>
  <c r="H54" i="77"/>
  <c r="H53" i="77"/>
  <c r="H52" i="77"/>
  <c r="C62" i="77"/>
  <c r="C61" i="77"/>
  <c r="C59" i="77"/>
  <c r="C58" i="77"/>
  <c r="C57" i="77"/>
  <c r="C54" i="77"/>
  <c r="B55" i="77"/>
  <c r="B54" i="77"/>
  <c r="A52" i="77"/>
  <c r="H49" i="77"/>
  <c r="H46" i="77"/>
  <c r="H45" i="77"/>
  <c r="H44" i="77"/>
  <c r="H42" i="77"/>
  <c r="H41" i="77"/>
  <c r="H40" i="77"/>
  <c r="C50" i="77"/>
  <c r="C49" i="77"/>
  <c r="C47" i="77"/>
  <c r="C46" i="77"/>
  <c r="C45" i="77"/>
  <c r="B43" i="77"/>
  <c r="B42" i="77"/>
  <c r="A40" i="77"/>
  <c r="H37" i="77"/>
  <c r="H34" i="77"/>
  <c r="H33" i="77"/>
  <c r="H32" i="77"/>
  <c r="H30" i="77"/>
  <c r="H29" i="77"/>
  <c r="H28" i="77"/>
  <c r="C38" i="77"/>
  <c r="C37" i="77"/>
  <c r="C35" i="77"/>
  <c r="C34" i="77"/>
  <c r="C33" i="77"/>
  <c r="B31" i="77"/>
  <c r="B30" i="77"/>
  <c r="A28" i="77"/>
  <c r="H13" i="77"/>
  <c r="H10" i="77"/>
  <c r="H9" i="77"/>
  <c r="H8" i="77"/>
  <c r="H6" i="77"/>
  <c r="H5" i="77"/>
  <c r="H4" i="77"/>
  <c r="C10" i="77"/>
  <c r="C14" i="77"/>
  <c r="C13" i="77"/>
  <c r="C30" i="77"/>
  <c r="B1" i="77"/>
  <c r="C11" i="77"/>
  <c r="C9" i="77"/>
  <c r="B7" i="77"/>
  <c r="B6" i="77"/>
  <c r="A4" i="77"/>
  <c r="H308" i="56"/>
  <c r="H10" i="56"/>
  <c r="E28" i="79" l="1"/>
  <c r="D28" i="79"/>
  <c r="C28" i="79"/>
  <c r="B28" i="79"/>
  <c r="E52" i="77"/>
  <c r="D52" i="77"/>
  <c r="B52" i="77"/>
  <c r="C52" i="77"/>
  <c r="E16" i="79"/>
  <c r="D16" i="79"/>
  <c r="B16" i="79"/>
  <c r="C16" i="79"/>
  <c r="E16" i="81"/>
  <c r="D16" i="81"/>
  <c r="B16" i="81"/>
  <c r="C16" i="81"/>
  <c r="E4" i="77"/>
  <c r="D4" i="77"/>
  <c r="C4" i="77"/>
  <c r="B4" i="77"/>
  <c r="E28" i="77"/>
  <c r="B28" i="77"/>
  <c r="D28" i="77"/>
  <c r="C28" i="77"/>
  <c r="E40" i="77"/>
  <c r="D40" i="77"/>
  <c r="C40" i="77"/>
  <c r="B40" i="77"/>
  <c r="E64" i="77"/>
  <c r="D64" i="77"/>
  <c r="C64" i="77"/>
  <c r="B64" i="77"/>
  <c r="E4" i="79"/>
  <c r="B4" i="79"/>
  <c r="D4" i="79"/>
  <c r="C4" i="79"/>
  <c r="E4" i="81"/>
  <c r="D4" i="81"/>
  <c r="B4" i="81"/>
  <c r="C4" i="81"/>
  <c r="E28" i="81"/>
  <c r="D28" i="81"/>
  <c r="C28" i="81"/>
  <c r="B28" i="81"/>
  <c r="C18" i="79"/>
  <c r="C67" i="77"/>
  <c r="C42" i="77"/>
  <c r="C55" i="77"/>
  <c r="C31" i="77"/>
  <c r="C66" i="77"/>
  <c r="C7" i="77" l="1"/>
  <c r="C6" i="77"/>
  <c r="H2" i="27"/>
  <c r="H2" i="64"/>
  <c r="E33" i="54"/>
  <c r="E32" i="54"/>
  <c r="E28" i="54"/>
  <c r="E26" i="54"/>
  <c r="E25" i="54"/>
  <c r="E21" i="54"/>
  <c r="H14" i="54"/>
  <c r="H15" i="54"/>
  <c r="E14" i="54"/>
  <c r="E15" i="54"/>
  <c r="H13" i="54"/>
  <c r="E13" i="54"/>
  <c r="E10" i="54"/>
  <c r="E6" i="54"/>
  <c r="H4" i="54"/>
  <c r="E4" i="54"/>
  <c r="E2" i="54"/>
  <c r="H2" i="54"/>
  <c r="H2" i="73"/>
  <c r="H2" i="53"/>
  <c r="H2" i="46"/>
  <c r="H2" i="52"/>
  <c r="H2" i="72"/>
  <c r="H2" i="71"/>
  <c r="H8" i="72" l="1"/>
  <c r="H7" i="72"/>
  <c r="E7" i="72"/>
  <c r="E8" i="72"/>
  <c r="H6" i="72"/>
  <c r="H6" i="46"/>
  <c r="H7" i="46"/>
  <c r="E8" i="46"/>
  <c r="H8" i="46"/>
  <c r="E7" i="46"/>
  <c r="E8" i="73"/>
  <c r="E7" i="73"/>
  <c r="E8" i="64"/>
  <c r="H7" i="64"/>
  <c r="E7" i="64"/>
  <c r="H6" i="64"/>
  <c r="H8" i="64"/>
  <c r="E8" i="27"/>
  <c r="E7" i="27"/>
  <c r="E8" i="71"/>
  <c r="H7" i="71"/>
  <c r="E7" i="71"/>
  <c r="H6" i="71"/>
  <c r="H8" i="71"/>
  <c r="E8" i="52"/>
  <c r="E7" i="52"/>
  <c r="H8" i="52"/>
  <c r="H7" i="52"/>
  <c r="H6" i="52"/>
  <c r="H8" i="53"/>
  <c r="E7" i="53"/>
  <c r="H7" i="53"/>
  <c r="H6" i="53"/>
  <c r="E8" i="53"/>
  <c r="H6" i="54"/>
  <c r="E7" i="54"/>
  <c r="H7" i="54"/>
  <c r="E8" i="54"/>
  <c r="H8" i="54"/>
  <c r="H2" i="69"/>
  <c r="E19" i="47"/>
  <c r="E17" i="47"/>
  <c r="H2" i="47"/>
  <c r="E19" i="63"/>
  <c r="E17" i="63"/>
  <c r="H2" i="63"/>
  <c r="H2" i="62"/>
  <c r="H2" i="51"/>
  <c r="E8" i="69" l="1"/>
  <c r="E7" i="69"/>
  <c r="H8" i="69"/>
  <c r="H7" i="69"/>
  <c r="H6" i="69"/>
  <c r="H8" i="51"/>
  <c r="H7" i="51"/>
  <c r="E7" i="51"/>
  <c r="E8" i="51"/>
  <c r="H6" i="51"/>
  <c r="H2" i="48"/>
  <c r="H2" i="50"/>
  <c r="E19" i="43"/>
  <c r="E17" i="43"/>
  <c r="H2" i="43"/>
  <c r="H2" i="40"/>
  <c r="E33" i="41"/>
  <c r="E32" i="41"/>
  <c r="E28" i="41"/>
  <c r="E26" i="41"/>
  <c r="E25" i="41"/>
  <c r="E21" i="41"/>
  <c r="E19" i="41"/>
  <c r="E17" i="41"/>
  <c r="H14" i="41"/>
  <c r="H15" i="41"/>
  <c r="H13" i="41"/>
  <c r="E14" i="41"/>
  <c r="E15" i="41"/>
  <c r="E13" i="41"/>
  <c r="E10" i="41"/>
  <c r="H4" i="41"/>
  <c r="E6" i="41"/>
  <c r="E4" i="41"/>
  <c r="E2" i="41"/>
  <c r="H2" i="41"/>
  <c r="H2" i="42"/>
  <c r="H14" i="45"/>
  <c r="H15" i="45"/>
  <c r="H2" i="44"/>
  <c r="H8" i="48" l="1"/>
  <c r="H7" i="48"/>
  <c r="H6" i="48"/>
  <c r="H8" i="42"/>
  <c r="H7" i="42"/>
  <c r="E7" i="42"/>
  <c r="E8" i="42"/>
  <c r="H6" i="42"/>
  <c r="E8" i="41"/>
  <c r="H7" i="41"/>
  <c r="E7" i="41"/>
  <c r="H6" i="41"/>
  <c r="H8" i="41"/>
  <c r="E8" i="40"/>
  <c r="E7" i="40"/>
  <c r="H8" i="40"/>
  <c r="H7" i="40"/>
  <c r="H6" i="40"/>
  <c r="H8" i="43"/>
  <c r="H7" i="43"/>
  <c r="E7" i="43"/>
  <c r="E8" i="43"/>
  <c r="H6" i="43"/>
  <c r="E8" i="48"/>
  <c r="E7" i="48"/>
  <c r="E8" i="44"/>
  <c r="E7" i="44"/>
  <c r="H8" i="44"/>
  <c r="H6" i="44"/>
  <c r="H7" i="44"/>
  <c r="E4" i="45"/>
  <c r="E33" i="45"/>
  <c r="E32" i="45" l="1"/>
  <c r="E28" i="45"/>
  <c r="E26" i="45"/>
  <c r="E25" i="45"/>
  <c r="E21" i="45"/>
  <c r="H4" i="45" l="1"/>
  <c r="E17" i="45"/>
  <c r="H2" i="45"/>
  <c r="H13" i="45"/>
  <c r="E14" i="45"/>
  <c r="E15" i="45"/>
  <c r="E13" i="45"/>
  <c r="E10" i="45"/>
</calcChain>
</file>

<file path=xl/sharedStrings.xml><?xml version="1.0" encoding="utf-8"?>
<sst xmlns="http://schemas.openxmlformats.org/spreadsheetml/2006/main" count="7674" uniqueCount="524">
  <si>
    <t>FECHA</t>
  </si>
  <si>
    <t>Unidad</t>
  </si>
  <si>
    <t>Q PERS</t>
  </si>
  <si>
    <t>Titulares</t>
  </si>
  <si>
    <t xml:space="preserve">Suplentes </t>
  </si>
  <si>
    <t>Trabajo  1</t>
  </si>
  <si>
    <t>Trabajo 2</t>
  </si>
  <si>
    <t>Trabajo 3</t>
  </si>
  <si>
    <t>Trabajo 4</t>
  </si>
  <si>
    <t xml:space="preserve">Personal </t>
  </si>
  <si>
    <t>Equipos</t>
  </si>
  <si>
    <t>Seleccione Empresa</t>
  </si>
  <si>
    <t>OT</t>
  </si>
  <si>
    <t>Remito</t>
  </si>
  <si>
    <t>GDU100</t>
  </si>
  <si>
    <t>GDU000</t>
  </si>
  <si>
    <t>Seleccione Chofer</t>
  </si>
  <si>
    <t>Cliente:</t>
  </si>
  <si>
    <t>Hora de Salida</t>
  </si>
  <si>
    <t>Selección Acompanante</t>
  </si>
  <si>
    <t>Lugar Carga</t>
  </si>
  <si>
    <t>Contacto</t>
  </si>
  <si>
    <t>Telefono</t>
  </si>
  <si>
    <t>Lugar Descarga</t>
  </si>
  <si>
    <t>Guardia</t>
  </si>
  <si>
    <t>Verificador</t>
  </si>
  <si>
    <t>Seleccione Verificador</t>
  </si>
  <si>
    <t xml:space="preserve">Operador </t>
  </si>
  <si>
    <t>Selección Operador</t>
  </si>
  <si>
    <t>GDU101</t>
  </si>
  <si>
    <t>GDU105</t>
  </si>
  <si>
    <t>GDU106</t>
  </si>
  <si>
    <t>GDU110</t>
  </si>
  <si>
    <t>GDU113</t>
  </si>
  <si>
    <t>GDU109</t>
  </si>
  <si>
    <t>GDU200</t>
  </si>
  <si>
    <t>GDU112</t>
  </si>
  <si>
    <t>GDU300</t>
  </si>
  <si>
    <t>Universal Cranes</t>
  </si>
  <si>
    <t>GDU402</t>
  </si>
  <si>
    <t xml:space="preserve">PEALCO SA </t>
  </si>
  <si>
    <t xml:space="preserve">TORTUGUITAS - VER UBICACIÓN </t>
  </si>
  <si>
    <t xml:space="preserve">JOSE </t>
  </si>
  <si>
    <t>15-3903-0846</t>
  </si>
  <si>
    <t>Recines Alejandro</t>
  </si>
  <si>
    <t>GDU403</t>
  </si>
  <si>
    <t>GDU404</t>
  </si>
  <si>
    <t>GDU405</t>
  </si>
  <si>
    <t>GDU406</t>
  </si>
  <si>
    <t>GDU407</t>
  </si>
  <si>
    <t>GDU408</t>
  </si>
  <si>
    <t>GDU454</t>
  </si>
  <si>
    <t>GDU701</t>
  </si>
  <si>
    <t>Gruas Daniele</t>
  </si>
  <si>
    <t>GDU500</t>
  </si>
  <si>
    <t>Campos Fernandez Jose Antonio</t>
  </si>
  <si>
    <t xml:space="preserve">IDENTIDAD CORPORATIVA ARGENTINA </t>
  </si>
  <si>
    <t>MAC DONALD´S - AV 14 N°5002, BERAZATEGUI</t>
  </si>
  <si>
    <t>GDU502</t>
  </si>
  <si>
    <t>GDU503</t>
  </si>
  <si>
    <t>GDU504</t>
  </si>
  <si>
    <t>GDU505</t>
  </si>
  <si>
    <t>Transporte Daniele</t>
  </si>
  <si>
    <t>GDU510</t>
  </si>
  <si>
    <t>Barreto Braian Jose</t>
  </si>
  <si>
    <t xml:space="preserve">RECONSTRUCCION DE CAÑOS SA </t>
  </si>
  <si>
    <t>AV ASTURIAS &amp; P° ISLAS MALVINAS, CABA (VER UBICACION)</t>
  </si>
  <si>
    <t xml:space="preserve">SEBASTIAN </t>
  </si>
  <si>
    <t>11 5126-8172</t>
  </si>
  <si>
    <t>GDU516</t>
  </si>
  <si>
    <t>GDU517</t>
  </si>
  <si>
    <t>GDU518</t>
  </si>
  <si>
    <t>Lazarte Lucas Matias</t>
  </si>
  <si>
    <t>REF MAR S R L</t>
  </si>
  <si>
    <t>PLANTA MASTELLONE (GRAL RODRIGUEZ)</t>
  </si>
  <si>
    <t>GDU520</t>
  </si>
  <si>
    <t>GDU521</t>
  </si>
  <si>
    <t xml:space="preserve">NUCLEOELECTICA ARGENTIN SA </t>
  </si>
  <si>
    <t xml:space="preserve">PREDIO ASECG II, LIMA ZARATE </t>
  </si>
  <si>
    <t>GDU522</t>
  </si>
  <si>
    <t>GDU700</t>
  </si>
  <si>
    <t>GDU702</t>
  </si>
  <si>
    <t>Contacto Daniele</t>
  </si>
  <si>
    <t>DNI</t>
  </si>
  <si>
    <t>GDU800</t>
  </si>
  <si>
    <t>Seleccione Contactos GD</t>
  </si>
  <si>
    <t>Hora de Carga</t>
  </si>
  <si>
    <t>TRANS001</t>
  </si>
  <si>
    <t>Remito Transporte</t>
  </si>
  <si>
    <t>TIPO</t>
  </si>
  <si>
    <t>Descripcion de la carga</t>
  </si>
  <si>
    <t>GDU801</t>
  </si>
  <si>
    <t>GDU802</t>
  </si>
  <si>
    <t>GDU803</t>
  </si>
  <si>
    <t>GDU804</t>
  </si>
  <si>
    <t>TRANS002</t>
  </si>
  <si>
    <t>GDU805</t>
  </si>
  <si>
    <t>GDU806</t>
  </si>
  <si>
    <t>GDU807</t>
  </si>
  <si>
    <t>GDU808</t>
  </si>
  <si>
    <t>GDU809</t>
  </si>
  <si>
    <t>TRANS003</t>
  </si>
  <si>
    <t>GDU810</t>
  </si>
  <si>
    <t>GDU811</t>
  </si>
  <si>
    <t>Codigo</t>
  </si>
  <si>
    <t>Apellido y Nombre</t>
  </si>
  <si>
    <t xml:space="preserve">Legajo </t>
  </si>
  <si>
    <t>Empresa</t>
  </si>
  <si>
    <t>Puesto</t>
  </si>
  <si>
    <t>DocumentoNumero</t>
  </si>
  <si>
    <t>GDE08</t>
  </si>
  <si>
    <t xml:space="preserve">Andrada Pablo Manuel </t>
  </si>
  <si>
    <t>Hard Norton Rental SRL</t>
  </si>
  <si>
    <t>Chofer de Semi</t>
  </si>
  <si>
    <t>GDE05</t>
  </si>
  <si>
    <t>Acosta Daniel Horacio</t>
  </si>
  <si>
    <t>GDL016</t>
  </si>
  <si>
    <t>Guinchero Especializado</t>
  </si>
  <si>
    <t>GDE04</t>
  </si>
  <si>
    <t>Almaraz Dominguez Ricardo Juan</t>
  </si>
  <si>
    <t>GDL010</t>
  </si>
  <si>
    <t>Movimientos Industriales Oeste</t>
  </si>
  <si>
    <t>Operador de Grua 60/90 TN</t>
  </si>
  <si>
    <t>GDE01</t>
  </si>
  <si>
    <t>Arocha Sergio Anibal</t>
  </si>
  <si>
    <t>GDL001</t>
  </si>
  <si>
    <t>Gruas Daniele SRL</t>
  </si>
  <si>
    <t>Operador de Grua 25/50 TN</t>
  </si>
  <si>
    <t>GDE03</t>
  </si>
  <si>
    <t>West Group SH</t>
  </si>
  <si>
    <t>Barrionuevo Claudio Andres</t>
  </si>
  <si>
    <t>GDL068</t>
  </si>
  <si>
    <t>Operador Aprendiz</t>
  </si>
  <si>
    <t>Benitez Pablo Martin</t>
  </si>
  <si>
    <t>GDL081</t>
  </si>
  <si>
    <t>chofer de semirremolque</t>
  </si>
  <si>
    <t>Bordones Requena Jordan Alexander</t>
  </si>
  <si>
    <t>GDL108</t>
  </si>
  <si>
    <t>Operador de Grua 175/250 TN</t>
  </si>
  <si>
    <t>Cabrera Hugo Daniel</t>
  </si>
  <si>
    <t>GDL061</t>
  </si>
  <si>
    <t>GDE02</t>
  </si>
  <si>
    <t>Caminatti Luis</t>
  </si>
  <si>
    <t>GDL007</t>
  </si>
  <si>
    <t>Transportes Daniele</t>
  </si>
  <si>
    <t>Jefe de Cuadrilla Especializado</t>
  </si>
  <si>
    <t>Guinchero Ayudante</t>
  </si>
  <si>
    <t>Cano Pablo Martin</t>
  </si>
  <si>
    <t>GDL047</t>
  </si>
  <si>
    <t>ADMINISTRATIVO</t>
  </si>
  <si>
    <t>Cano Silvero Aldo Ruben</t>
  </si>
  <si>
    <t>GDL025</t>
  </si>
  <si>
    <t>Ayudante Aprendiz</t>
  </si>
  <si>
    <t>Chavez Carlos Cesar</t>
  </si>
  <si>
    <t>GDL032</t>
  </si>
  <si>
    <t>Ciocca Maria Florencia</t>
  </si>
  <si>
    <t>GDL097</t>
  </si>
  <si>
    <t>Cuevas Miguel Hector</t>
  </si>
  <si>
    <t>GDL017</t>
  </si>
  <si>
    <t>Verificador de Manualidades</t>
  </si>
  <si>
    <t>Daniele Calvin Max</t>
  </si>
  <si>
    <t>GDL901</t>
  </si>
  <si>
    <t>Grupo Daniele</t>
  </si>
  <si>
    <t>Daniele Edgardo Rodolfo</t>
  </si>
  <si>
    <t>GDL900</t>
  </si>
  <si>
    <t>Daniele Jayson Edgar</t>
  </si>
  <si>
    <t>GDL902</t>
  </si>
  <si>
    <t>Daniele Nicolas Marvin</t>
  </si>
  <si>
    <t>GDL903</t>
  </si>
  <si>
    <t>De Felipe Hector Miguel</t>
  </si>
  <si>
    <t>GDL002</t>
  </si>
  <si>
    <t>Jefe de Cuadrilla</t>
  </si>
  <si>
    <t>GDE06</t>
  </si>
  <si>
    <t>Fuentes Jorge Luis</t>
  </si>
  <si>
    <t>GDL052</t>
  </si>
  <si>
    <t>Ehingen Service SRL</t>
  </si>
  <si>
    <t>MAESTRANZA</t>
  </si>
  <si>
    <t>Gaitano Gerardo  Ruben</t>
  </si>
  <si>
    <t>GDL050</t>
  </si>
  <si>
    <t>Garay Esteban Horacio</t>
  </si>
  <si>
    <t>GDL012</t>
  </si>
  <si>
    <t>Giambroni Alberto Martin</t>
  </si>
  <si>
    <t>GDL019</t>
  </si>
  <si>
    <t>GDE103</t>
  </si>
  <si>
    <t>Giambroni Sergio Leonardo</t>
  </si>
  <si>
    <t>Gonzalez Molinas Juan Alberto</t>
  </si>
  <si>
    <t>GDL071</t>
  </si>
  <si>
    <t>MECANICO</t>
  </si>
  <si>
    <t>Graboviesky Javier Francisco</t>
  </si>
  <si>
    <t>GDL028</t>
  </si>
  <si>
    <t>HERRERO</t>
  </si>
  <si>
    <t>Hermoso Camacho Roberto Rafael</t>
  </si>
  <si>
    <t>GDL066</t>
  </si>
  <si>
    <t>Ibañez Manuel</t>
  </si>
  <si>
    <t>GDL004</t>
  </si>
  <si>
    <t>GDE07</t>
  </si>
  <si>
    <t xml:space="preserve">Jimenez Manuel Ernesto </t>
  </si>
  <si>
    <t>GDL078</t>
  </si>
  <si>
    <t>Game Rental SRL</t>
  </si>
  <si>
    <t>Molina Rodrigo</t>
  </si>
  <si>
    <t>GDL058</t>
  </si>
  <si>
    <t>Chofer de Camion</t>
  </si>
  <si>
    <t>Molina Dario Walter</t>
  </si>
  <si>
    <t>GDL029</t>
  </si>
  <si>
    <t>Ayudante</t>
  </si>
  <si>
    <t>Montenegro Mariano Manuel</t>
  </si>
  <si>
    <t>GDL043</t>
  </si>
  <si>
    <t>Operador de Grua 100/160 TN</t>
  </si>
  <si>
    <t>Montenegro Matias Marcial</t>
  </si>
  <si>
    <t>Nappi Juan Manuel</t>
  </si>
  <si>
    <t>GDL036</t>
  </si>
  <si>
    <t>Nappi Kevin Ezequiel</t>
  </si>
  <si>
    <t>GDL113</t>
  </si>
  <si>
    <t>Pereyra Cristian Javier</t>
  </si>
  <si>
    <t>GDL022</t>
  </si>
  <si>
    <t>Pereyra Machado Fernando</t>
  </si>
  <si>
    <t>GDL067</t>
  </si>
  <si>
    <t>GDL905</t>
  </si>
  <si>
    <t>Rios Franco Andres</t>
  </si>
  <si>
    <t>GDL095</t>
  </si>
  <si>
    <t xml:space="preserve">Salvo Jonathan Nicolas </t>
  </si>
  <si>
    <t>GDE00</t>
  </si>
  <si>
    <t>Sucheñia Lucas Abel</t>
  </si>
  <si>
    <t>GDL005</t>
  </si>
  <si>
    <t>Toloza Lucas</t>
  </si>
  <si>
    <t>Torres Franco Nicolas</t>
  </si>
  <si>
    <t>GDL123</t>
  </si>
  <si>
    <t>Vazquez David Gabriel</t>
  </si>
  <si>
    <t>GDL031</t>
  </si>
  <si>
    <t>Vega Jorge Luis</t>
  </si>
  <si>
    <t>GDL006</t>
  </si>
  <si>
    <t>Vereficador de Grua</t>
  </si>
  <si>
    <t>Zyrak Nicolas Javier</t>
  </si>
  <si>
    <t>GDL106</t>
  </si>
  <si>
    <t>Listado de Personal de Guardia</t>
  </si>
  <si>
    <t>Chofer Grua</t>
  </si>
  <si>
    <t>Chofer Camion</t>
  </si>
  <si>
    <t>Interno</t>
  </si>
  <si>
    <t>Tipo</t>
  </si>
  <si>
    <t>Marca</t>
  </si>
  <si>
    <t>Modelo</t>
  </si>
  <si>
    <t>Patente</t>
  </si>
  <si>
    <t>Lugar de Carga</t>
  </si>
  <si>
    <t>Lugar de descarga</t>
  </si>
  <si>
    <t>Remito GD</t>
  </si>
  <si>
    <t>Cliente</t>
  </si>
  <si>
    <t>Teléfono</t>
  </si>
  <si>
    <t>Contacto GD</t>
  </si>
  <si>
    <t>Descripcion de la Carga</t>
  </si>
  <si>
    <t>Ciente</t>
  </si>
  <si>
    <t>Fecha:</t>
  </si>
  <si>
    <t>Hora de salida:</t>
  </si>
  <si>
    <t>Equipo:</t>
  </si>
  <si>
    <t xml:space="preserve"> </t>
  </si>
  <si>
    <t>Chofer:</t>
  </si>
  <si>
    <t>Acompañantes:</t>
  </si>
  <si>
    <t>Verificador:</t>
  </si>
  <si>
    <t>Operador</t>
  </si>
  <si>
    <t>Lugar de carga</t>
  </si>
  <si>
    <t>Contacto:</t>
  </si>
  <si>
    <t>Observaciones</t>
  </si>
  <si>
    <t>incluir las observaciones correpondientes</t>
  </si>
  <si>
    <t>SERVICIO DE IZAJE DE PERSONAL MEDIANTE BARQUILLA ==REMITO MINIMO DE 10 HS ==  (ELLOS PONEN LA BARQUILLA )</t>
  </si>
  <si>
    <t>SERVICIO MENSUAL DE GRUA DE 30 TN                                                                                                                                                    ==REMITO MINIMO DE 7 HORAS DE LUNES  A SABADO, LOS DOMINGOS MINIMO DE 10 HS, DIAS DE LLUVIA SON 7 HORA MINIMAS Y NO SE CONTABILIZAN LA HORA DE ALMUERZO ==</t>
  </si>
  <si>
    <t>IZAJE DE CAÑOS Y PERFILES ==REMITO MINIMO DE 10 HS==</t>
  </si>
  <si>
    <t xml:space="preserve">TRABAJO EN OBRA </t>
  </si>
  <si>
    <t>Razon Social</t>
  </si>
  <si>
    <t>Cuit Cuil</t>
  </si>
  <si>
    <t>GD01</t>
  </si>
  <si>
    <t>30-70755850-0</t>
  </si>
  <si>
    <t>GD02</t>
  </si>
  <si>
    <t xml:space="preserve">Edgardo Daniele </t>
  </si>
  <si>
    <t>20-17196140-9</t>
  </si>
  <si>
    <t>GD03</t>
  </si>
  <si>
    <t>West Group</t>
  </si>
  <si>
    <t>30-71084691-6</t>
  </si>
  <si>
    <t>GD04</t>
  </si>
  <si>
    <t xml:space="preserve">Nicolas Daniele </t>
  </si>
  <si>
    <t>20-93759578-7</t>
  </si>
  <si>
    <t>GD05</t>
  </si>
  <si>
    <t>Daniele Calvin y Daniele Jayson SH</t>
  </si>
  <si>
    <t>30-71218531-3</t>
  </si>
  <si>
    <t>GD06</t>
  </si>
  <si>
    <t>Ehingen Service</t>
  </si>
  <si>
    <t>30-71410111-7</t>
  </si>
  <si>
    <t>GD07</t>
  </si>
  <si>
    <t>Game Rental</t>
  </si>
  <si>
    <t>30-71533904-4</t>
  </si>
  <si>
    <t>GD08</t>
  </si>
  <si>
    <t>Jayson Daniele</t>
  </si>
  <si>
    <t>GD</t>
  </si>
  <si>
    <t>Seleccione Estado</t>
  </si>
  <si>
    <t>En ejecucion</t>
  </si>
  <si>
    <t>A confirmar</t>
  </si>
  <si>
    <t>Finalizado</t>
  </si>
  <si>
    <t>Seleccione Gestion</t>
  </si>
  <si>
    <t>PERMISO CORTE</t>
  </si>
  <si>
    <t>TRASLADO CARRETON</t>
  </si>
  <si>
    <t>OTROS</t>
  </si>
  <si>
    <t>#</t>
  </si>
  <si>
    <t>Nuevo Interno</t>
  </si>
  <si>
    <t>Nro</t>
  </si>
  <si>
    <t>Equipo Asignado</t>
  </si>
  <si>
    <t>TNs</t>
  </si>
  <si>
    <t>Selecciona Equipo</t>
  </si>
  <si>
    <t>GDU001</t>
  </si>
  <si>
    <t>Liviano</t>
  </si>
  <si>
    <t>FIAT</t>
  </si>
  <si>
    <t xml:space="preserve">UNO </t>
  </si>
  <si>
    <t>EYI 197</t>
  </si>
  <si>
    <t>GDU002</t>
  </si>
  <si>
    <t>ODQ 087</t>
  </si>
  <si>
    <t>GDU004</t>
  </si>
  <si>
    <t>VOLKSWAGEN</t>
  </si>
  <si>
    <t>UP</t>
  </si>
  <si>
    <t>OQD 318</t>
  </si>
  <si>
    <t>GDU005</t>
  </si>
  <si>
    <t>BMW</t>
  </si>
  <si>
    <t>MKB 020</t>
  </si>
  <si>
    <t>GDU006</t>
  </si>
  <si>
    <t>Mini Cooper</t>
  </si>
  <si>
    <t>NJB 141</t>
  </si>
  <si>
    <t>GDU007</t>
  </si>
  <si>
    <t>Mercedes Benz</t>
  </si>
  <si>
    <t>Smart</t>
  </si>
  <si>
    <t>JML 855</t>
  </si>
  <si>
    <t>GDU008</t>
  </si>
  <si>
    <t>Austin</t>
  </si>
  <si>
    <t>Morris Mini mil</t>
  </si>
  <si>
    <t>AA 691 LE</t>
  </si>
  <si>
    <t>GDU009</t>
  </si>
  <si>
    <t>Porsche</t>
  </si>
  <si>
    <t>Carrera 4s Cabrilet</t>
  </si>
  <si>
    <t>AA 413 YE</t>
  </si>
  <si>
    <t>GDU053</t>
  </si>
  <si>
    <t>FIORINO</t>
  </si>
  <si>
    <t>MHX 920</t>
  </si>
  <si>
    <t>GDU055</t>
  </si>
  <si>
    <t>AMAROK</t>
  </si>
  <si>
    <t>OGZ 054</t>
  </si>
  <si>
    <t>GDU056</t>
  </si>
  <si>
    <t>AA 087 LA</t>
  </si>
  <si>
    <t>GDU057</t>
  </si>
  <si>
    <t>NZF 438</t>
  </si>
  <si>
    <t>GDU058</t>
  </si>
  <si>
    <t>LIFAN</t>
  </si>
  <si>
    <t>FOISON CARGO</t>
  </si>
  <si>
    <t>AB 722 RN</t>
  </si>
  <si>
    <t>GDU063</t>
  </si>
  <si>
    <t>TOYOTA</t>
  </si>
  <si>
    <t>HIILUX</t>
  </si>
  <si>
    <t>AD761JW</t>
  </si>
  <si>
    <t>GDU064</t>
  </si>
  <si>
    <t>STRADA</t>
  </si>
  <si>
    <t>AH210SR</t>
  </si>
  <si>
    <t>GDU065</t>
  </si>
  <si>
    <t>AH255OH</t>
  </si>
  <si>
    <t xml:space="preserve">Camion </t>
  </si>
  <si>
    <t>KIA</t>
  </si>
  <si>
    <t>K2500</t>
  </si>
  <si>
    <t>ONT 594</t>
  </si>
  <si>
    <t>HYUNDAI</t>
  </si>
  <si>
    <t xml:space="preserve">HD78 </t>
  </si>
  <si>
    <t>JLM 355</t>
  </si>
  <si>
    <t>GDU102</t>
  </si>
  <si>
    <t>GDU600</t>
  </si>
  <si>
    <t>LEP 354</t>
  </si>
  <si>
    <t>GDU103</t>
  </si>
  <si>
    <t>DNX 857</t>
  </si>
  <si>
    <t>GDU104</t>
  </si>
  <si>
    <t>GDU601</t>
  </si>
  <si>
    <t>GRG 197</t>
  </si>
  <si>
    <t>GDU602</t>
  </si>
  <si>
    <t>MRF 907</t>
  </si>
  <si>
    <t>GDU603</t>
  </si>
  <si>
    <t>IVECO</t>
  </si>
  <si>
    <t>EURO 220</t>
  </si>
  <si>
    <t>HOD 216</t>
  </si>
  <si>
    <t>GDU108</t>
  </si>
  <si>
    <t>Tractor</t>
  </si>
  <si>
    <t>CURSOR</t>
  </si>
  <si>
    <t>PMR 220</t>
  </si>
  <si>
    <t>SCANIA</t>
  </si>
  <si>
    <t xml:space="preserve">G410 </t>
  </si>
  <si>
    <t>PBA 177</t>
  </si>
  <si>
    <t>GDU604</t>
  </si>
  <si>
    <t>170 E 22</t>
  </si>
  <si>
    <t>AC 223 HV</t>
  </si>
  <si>
    <t>STRALIS - 440</t>
  </si>
  <si>
    <t>AF442SD</t>
  </si>
  <si>
    <t>DS - 240</t>
  </si>
  <si>
    <t>AF009EJ</t>
  </si>
  <si>
    <t>TECTOR 240</t>
  </si>
  <si>
    <t>AG368PJ</t>
  </si>
  <si>
    <t>Carreton</t>
  </si>
  <si>
    <t xml:space="preserve">SALTO </t>
  </si>
  <si>
    <t>CARRETON</t>
  </si>
  <si>
    <t>GEV 193</t>
  </si>
  <si>
    <t>GDU201</t>
  </si>
  <si>
    <t>MARCELLINI</t>
  </si>
  <si>
    <t>POB 342</t>
  </si>
  <si>
    <t>GDU202</t>
  </si>
  <si>
    <t>Boggy</t>
  </si>
  <si>
    <t>Semirremolque</t>
  </si>
  <si>
    <t>GOMATRO</t>
  </si>
  <si>
    <t>SEMIRREMOLQUE</t>
  </si>
  <si>
    <t>SNN 095</t>
  </si>
  <si>
    <t>GDU301</t>
  </si>
  <si>
    <t>PETTINARI</t>
  </si>
  <si>
    <t>OIM 691</t>
  </si>
  <si>
    <t>GDU350</t>
  </si>
  <si>
    <t>Trailer Amarok</t>
  </si>
  <si>
    <t>Autoelevador</t>
  </si>
  <si>
    <t>HELI</t>
  </si>
  <si>
    <t>BTX 078</t>
  </si>
  <si>
    <t>KOMATSU</t>
  </si>
  <si>
    <t>-</t>
  </si>
  <si>
    <t>DD 30 E</t>
  </si>
  <si>
    <t>SINOBANG</t>
  </si>
  <si>
    <t>CPCD 70</t>
  </si>
  <si>
    <t>CPCD 25</t>
  </si>
  <si>
    <t>CPCD 30</t>
  </si>
  <si>
    <t>CPCD 100</t>
  </si>
  <si>
    <t>GDU450</t>
  </si>
  <si>
    <t>Plataforma</t>
  </si>
  <si>
    <t>Compact 10</t>
  </si>
  <si>
    <t>GDU451</t>
  </si>
  <si>
    <t>Compact 12</t>
  </si>
  <si>
    <t>GDU452</t>
  </si>
  <si>
    <t>Compact 14</t>
  </si>
  <si>
    <t>GDU453</t>
  </si>
  <si>
    <t>Brazo articulado</t>
  </si>
  <si>
    <t>Haulote</t>
  </si>
  <si>
    <t>Ha15ip</t>
  </si>
  <si>
    <t>Manipulador</t>
  </si>
  <si>
    <t>Hlt4014</t>
  </si>
  <si>
    <t>GDU455</t>
  </si>
  <si>
    <t xml:space="preserve">Plataforma </t>
  </si>
  <si>
    <t>Goman lift</t>
  </si>
  <si>
    <t>s12</t>
  </si>
  <si>
    <t>GDU456</t>
  </si>
  <si>
    <t>GDU457</t>
  </si>
  <si>
    <t>Grua</t>
  </si>
  <si>
    <t>LIEBHERR</t>
  </si>
  <si>
    <t>LTM 1030</t>
  </si>
  <si>
    <t>LTM 1070</t>
  </si>
  <si>
    <t>LGU 098</t>
  </si>
  <si>
    <t>LTM 1090</t>
  </si>
  <si>
    <t>AG897CT</t>
  </si>
  <si>
    <t>LTM 1100</t>
  </si>
  <si>
    <t>LTM 1250</t>
  </si>
  <si>
    <t>TADANO</t>
  </si>
  <si>
    <t>GR 300 EX</t>
  </si>
  <si>
    <t>BIA 75</t>
  </si>
  <si>
    <t>GDU511</t>
  </si>
  <si>
    <t>TEREX PPM</t>
  </si>
  <si>
    <t>ATT 400/3</t>
  </si>
  <si>
    <t>GDU513</t>
  </si>
  <si>
    <t xml:space="preserve">CRANE </t>
  </si>
  <si>
    <t>CAK 015</t>
  </si>
  <si>
    <t>GDU515</t>
  </si>
  <si>
    <t>HYSTER</t>
  </si>
  <si>
    <t>BGY 080</t>
  </si>
  <si>
    <t>GROVE</t>
  </si>
  <si>
    <t>GMK 2035</t>
  </si>
  <si>
    <t>AG897CG</t>
  </si>
  <si>
    <t>GMK 5130</t>
  </si>
  <si>
    <t>LTM -1060 3.1</t>
  </si>
  <si>
    <t>GDU519</t>
  </si>
  <si>
    <t>FAUN HK-70</t>
  </si>
  <si>
    <t>LTM1070</t>
  </si>
  <si>
    <t>ZZ001UC</t>
  </si>
  <si>
    <t>LTM 1150</t>
  </si>
  <si>
    <t>LTM 1230</t>
  </si>
  <si>
    <t>Hidrogrua</t>
  </si>
  <si>
    <t>PM</t>
  </si>
  <si>
    <t>PM 24023</t>
  </si>
  <si>
    <t>GA 211523</t>
  </si>
  <si>
    <t>AMCO VEBA</t>
  </si>
  <si>
    <t>VB 90-45</t>
  </si>
  <si>
    <t>COPMA</t>
  </si>
  <si>
    <t>3428-RA-25</t>
  </si>
  <si>
    <t>xx</t>
  </si>
  <si>
    <t>Alguiler Grua</t>
  </si>
  <si>
    <t>GDU703</t>
  </si>
  <si>
    <t>GDU704</t>
  </si>
  <si>
    <t>GDU705</t>
  </si>
  <si>
    <t>Camion</t>
  </si>
  <si>
    <t>Alquiler Camion</t>
  </si>
  <si>
    <t>Montera</t>
  </si>
  <si>
    <t>Rivas</t>
  </si>
  <si>
    <t>FBM</t>
  </si>
  <si>
    <t>GDU900</t>
  </si>
  <si>
    <t>Alquiler Equipos</t>
  </si>
  <si>
    <t>GDU901</t>
  </si>
  <si>
    <t>GDU902</t>
  </si>
  <si>
    <t>GDU903</t>
  </si>
  <si>
    <t>GDU904</t>
  </si>
  <si>
    <t>GDU905</t>
  </si>
  <si>
    <t>GDUVAR</t>
  </si>
  <si>
    <t>Equipos Varios</t>
  </si>
  <si>
    <t>GDUXXX</t>
  </si>
  <si>
    <t>Movimiento Stock</t>
  </si>
  <si>
    <t>Seleccione Equipo</t>
  </si>
  <si>
    <t>GDU203</t>
  </si>
  <si>
    <t>AF362FT</t>
  </si>
  <si>
    <t>TRANS000</t>
  </si>
  <si>
    <t>Selecione Transportista</t>
  </si>
  <si>
    <t>Transporte Montera</t>
  </si>
  <si>
    <t>Transporte Rivas</t>
  </si>
  <si>
    <t>Transporte FBM</t>
  </si>
  <si>
    <t>TRANS004</t>
  </si>
  <si>
    <t>Transporte EusKal</t>
  </si>
  <si>
    <t>TRANS005</t>
  </si>
  <si>
    <t>CAR</t>
  </si>
  <si>
    <t>SEM</t>
  </si>
  <si>
    <t xml:space="preserve">Seleccione Tipo </t>
  </si>
  <si>
    <t>Chofer Montera</t>
  </si>
  <si>
    <t>CHO</t>
  </si>
  <si>
    <t>Almaraz Miguel</t>
  </si>
  <si>
    <t>Cuevas Miguel</t>
  </si>
  <si>
    <t>VERIFICADOR</t>
  </si>
  <si>
    <t>Cano Pablo</t>
  </si>
  <si>
    <t>Stuto Abril Daiana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</si>
</sst>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
  </numFmts>
  <fonts count="61">
    <font>
      <sz val="10"/>
      <name val="Arial"/>
    </font>
    <font>
      <sz val="11"/>
      <color theme="1"/>
      <name val="Calibri"/>
      <family val="2"/>
      <scheme val="minor"/>
    </font>
    <font>
      <sz val="11"/>
      <color theme="1"/>
      <name val="Calibri"/>
      <family val="2"/>
      <scheme val="minor"/>
    </font>
    <font>
      <i/>
      <sz val="10"/>
      <name val="Calibri"/>
      <family val="2"/>
      <scheme val="minor"/>
    </font>
    <font>
      <i/>
      <sz val="12"/>
      <name val="Calibri"/>
      <family val="2"/>
      <scheme val="minor"/>
    </font>
    <font>
      <b/>
      <i/>
      <sz val="12"/>
      <name val="Calibri"/>
      <family val="2"/>
      <scheme val="minor"/>
    </font>
    <font>
      <b/>
      <i/>
      <sz val="12"/>
      <color theme="1"/>
      <name val="Calibri"/>
      <family val="2"/>
      <scheme val="minor"/>
    </font>
    <font>
      <i/>
      <sz val="12"/>
      <color theme="1"/>
      <name val="Calibri"/>
      <family val="2"/>
      <scheme val="minor"/>
    </font>
    <font>
      <i/>
      <sz val="10"/>
      <color indexed="12"/>
      <name val="Calibri"/>
      <family val="2"/>
      <scheme val="minor"/>
    </font>
    <font>
      <b/>
      <i/>
      <sz val="16"/>
      <name val="Calibri"/>
      <family val="2"/>
      <scheme val="minor"/>
    </font>
    <font>
      <b/>
      <i/>
      <sz val="16"/>
      <color indexed="12"/>
      <name val="Calibri"/>
      <family val="2"/>
      <scheme val="minor"/>
    </font>
    <font>
      <b/>
      <i/>
      <sz val="16"/>
      <color rgb="FFFF0000"/>
      <name val="Calibri"/>
      <family val="2"/>
      <scheme val="minor"/>
    </font>
    <font>
      <b/>
      <i/>
      <sz val="10"/>
      <color indexed="12"/>
      <name val="Calibri"/>
      <family val="2"/>
      <scheme val="minor"/>
    </font>
    <font>
      <b/>
      <i/>
      <sz val="12"/>
      <color indexed="12"/>
      <name val="Calibri"/>
      <family val="2"/>
      <scheme val="minor"/>
    </font>
    <font>
      <b/>
      <i/>
      <u/>
      <sz val="12"/>
      <color indexed="12"/>
      <name val="Calibri"/>
      <family val="2"/>
      <scheme val="minor"/>
    </font>
    <font>
      <i/>
      <sz val="12"/>
      <color indexed="12"/>
      <name val="Calibri"/>
      <family val="2"/>
      <scheme val="minor"/>
    </font>
    <font>
      <b/>
      <i/>
      <u/>
      <sz val="12"/>
      <name val="Calibri"/>
      <family val="2"/>
      <scheme val="minor"/>
    </font>
    <font>
      <b/>
      <i/>
      <sz val="10"/>
      <color theme="1"/>
      <name val="Calibri"/>
      <family val="2"/>
      <scheme val="minor"/>
    </font>
    <font>
      <b/>
      <i/>
      <sz val="14"/>
      <name val="Calibri"/>
      <family val="2"/>
      <scheme val="minor"/>
    </font>
    <font>
      <i/>
      <sz val="16"/>
      <name val="Calibri"/>
      <family val="2"/>
      <scheme val="minor"/>
    </font>
    <font>
      <i/>
      <sz val="18"/>
      <name val="Calibri"/>
      <family val="2"/>
      <scheme val="minor"/>
    </font>
    <font>
      <sz val="10"/>
      <name val="Arial"/>
      <family val="2"/>
    </font>
    <font>
      <b/>
      <i/>
      <sz val="11"/>
      <name val="Calibri"/>
      <family val="2"/>
      <scheme val="minor"/>
    </font>
    <font>
      <i/>
      <sz val="10"/>
      <color rgb="FF00B050"/>
      <name val="Calibri"/>
      <family val="2"/>
      <scheme val="minor"/>
    </font>
    <font>
      <b/>
      <i/>
      <sz val="18"/>
      <color theme="0"/>
      <name val="Calibri"/>
      <family val="2"/>
      <scheme val="minor"/>
    </font>
    <font>
      <i/>
      <sz val="11"/>
      <name val="Calibri"/>
      <family val="2"/>
      <scheme val="minor"/>
    </font>
    <font>
      <sz val="10"/>
      <name val="Calibri"/>
      <family val="2"/>
      <scheme val="minor"/>
    </font>
    <font>
      <b/>
      <i/>
      <sz val="11"/>
      <color rgb="FF0070C0"/>
      <name val="Calibri"/>
      <family val="2"/>
      <scheme val="minor"/>
    </font>
    <font>
      <i/>
      <sz val="10"/>
      <color rgb="FF0070C0"/>
      <name val="Calibri"/>
      <family val="2"/>
      <scheme val="minor"/>
    </font>
    <font>
      <b/>
      <i/>
      <sz val="14"/>
      <color rgb="FF0070C0"/>
      <name val="Calibri"/>
      <family val="2"/>
      <scheme val="minor"/>
    </font>
    <font>
      <b/>
      <i/>
      <sz val="22"/>
      <color rgb="FF00B050"/>
      <name val="Calibri"/>
      <family val="2"/>
      <scheme val="minor"/>
    </font>
    <font>
      <b/>
      <i/>
      <sz val="18"/>
      <color rgb="FF0070C0"/>
      <name val="Calibri"/>
      <family val="2"/>
      <scheme val="minor"/>
    </font>
    <font>
      <b/>
      <i/>
      <sz val="20"/>
      <color theme="0"/>
      <name val="Calibri"/>
      <family val="2"/>
      <scheme val="minor"/>
    </font>
    <font>
      <b/>
      <i/>
      <sz val="20"/>
      <name val="Calibri"/>
      <family val="2"/>
      <scheme val="minor"/>
    </font>
    <font>
      <b/>
      <i/>
      <sz val="22"/>
      <name val="Calibri"/>
      <family val="2"/>
      <scheme val="minor"/>
    </font>
    <font>
      <b/>
      <i/>
      <sz val="22"/>
      <color rgb="FF0070C0"/>
      <name val="Calibri"/>
      <family val="2"/>
      <scheme val="minor"/>
    </font>
    <font>
      <i/>
      <sz val="14"/>
      <name val="Calibri"/>
      <family val="2"/>
      <scheme val="minor"/>
    </font>
    <font>
      <b/>
      <i/>
      <sz val="14"/>
      <color theme="0"/>
      <name val="Calibri"/>
      <family val="2"/>
      <scheme val="minor"/>
    </font>
    <font>
      <b/>
      <i/>
      <sz val="11"/>
      <color rgb="FF00B050"/>
      <name val="Calibri"/>
      <family val="2"/>
      <scheme val="minor"/>
    </font>
    <font>
      <b/>
      <i/>
      <sz val="20"/>
      <color rgb="FF00B050"/>
      <name val="Calibri"/>
      <family val="2"/>
      <scheme val="minor"/>
    </font>
    <font>
      <b/>
      <i/>
      <sz val="14"/>
      <color theme="6" tint="-0.249977111117893"/>
      <name val="Calibri"/>
      <family val="2"/>
      <scheme val="minor"/>
    </font>
    <font>
      <b/>
      <i/>
      <sz val="11"/>
      <color theme="4" tint="-0.249977111117893"/>
      <name val="Calibri"/>
      <family val="2"/>
      <scheme val="minor"/>
    </font>
    <font>
      <b/>
      <i/>
      <sz val="20"/>
      <color theme="4" tint="-0.249977111117893"/>
      <name val="Calibri"/>
      <family val="2"/>
      <scheme val="minor"/>
    </font>
    <font>
      <b/>
      <i/>
      <sz val="14"/>
      <color theme="4" tint="-0.249977111117893"/>
      <name val="Calibri"/>
      <family val="2"/>
      <scheme val="minor"/>
    </font>
    <font>
      <b/>
      <i/>
      <sz val="18"/>
      <color rgb="FF00B0F0"/>
      <name val="Calibri"/>
      <family val="2"/>
      <scheme val="minor"/>
    </font>
    <font>
      <b/>
      <i/>
      <sz val="11"/>
      <color theme="6" tint="-0.249977111117893"/>
      <name val="Calibri"/>
      <family val="2"/>
      <scheme val="minor"/>
    </font>
    <font>
      <b/>
      <i/>
      <sz val="20"/>
      <color rgb="FF92D050"/>
      <name val="Calibri"/>
      <family val="2"/>
      <scheme val="minor"/>
    </font>
    <font>
      <b/>
      <i/>
      <sz val="22"/>
      <color rgb="FF92D050"/>
      <name val="Calibri"/>
      <family val="2"/>
      <scheme val="minor"/>
    </font>
    <font>
      <i/>
      <sz val="10"/>
      <color rgb="FF92D050"/>
      <name val="Calibri"/>
      <family val="2"/>
      <scheme val="minor"/>
    </font>
    <font>
      <b/>
      <i/>
      <sz val="11"/>
      <color theme="7" tint="-0.249977111117893"/>
      <name val="Calibri"/>
      <family val="2"/>
      <scheme val="minor"/>
    </font>
    <font>
      <b/>
      <i/>
      <sz val="10"/>
      <name val="Calibri"/>
      <family val="2"/>
      <scheme val="minor"/>
    </font>
    <font>
      <b/>
      <sz val="10"/>
      <name val="Calibri"/>
      <family val="2"/>
      <scheme val="minor"/>
    </font>
    <font>
      <b/>
      <i/>
      <sz val="20"/>
      <color rgb="FF0070C0"/>
      <name val="Calibri"/>
      <family val="2"/>
      <scheme val="minor"/>
    </font>
    <font>
      <b/>
      <i/>
      <sz val="22"/>
      <color rgb="FF002060"/>
      <name val="Calibri"/>
      <family val="2"/>
      <scheme val="minor"/>
    </font>
    <font>
      <b/>
      <i/>
      <sz val="14"/>
      <color rgb="FFFF0000"/>
      <name val="Calibri"/>
      <family val="2"/>
      <scheme val="minor"/>
    </font>
    <font>
      <b/>
      <i/>
      <sz val="11"/>
      <color rgb="FFFF0000"/>
      <name val="Calibri"/>
      <family val="2"/>
      <scheme val="minor"/>
    </font>
    <font>
      <b/>
      <sz val="10"/>
      <name val="Arial"/>
      <family val="2"/>
    </font>
    <font>
      <b/>
      <i/>
      <sz val="18"/>
      <name val="Calibri"/>
      <family val="2"/>
      <scheme val="minor"/>
    </font>
    <font>
      <b/>
      <i/>
      <sz val="16"/>
      <color theme="3" tint="0.39997558519241921"/>
      <name val="Calibri"/>
      <family val="2"/>
      <scheme val="minor"/>
    </font>
    <font>
      <b/>
      <i/>
      <sz val="22"/>
      <color rgb="FFFF0000"/>
      <name val="Calibri"/>
      <family val="2"/>
      <scheme val="minor"/>
    </font>
    <font>
      <b/>
      <i/>
      <sz val="24"/>
      <color theme="6" tint="-0.249977111117893"/>
      <name val="Calibri"/>
      <family val="2"/>
      <scheme val="minor"/>
    </font>
  </fonts>
  <fills count="23">
    <fill>
      <patternFill patternType="none"/>
    </fill>
    <fill>
      <patternFill patternType="gray125"/>
    </fill>
    <fill>
      <patternFill patternType="solid">
        <fgColor theme="6" tint="0.39997558519241921"/>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249977111117893"/>
        <bgColor indexed="64"/>
      </patternFill>
    </fill>
    <fill>
      <patternFill patternType="solid">
        <fgColor rgb="FF0070C0"/>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3" tint="0.59999389629810485"/>
        <bgColor indexed="64"/>
      </patternFill>
    </fill>
    <fill>
      <patternFill patternType="solid">
        <fgColor rgb="FF66FF33"/>
        <bgColor indexed="64"/>
      </patternFill>
    </fill>
    <fill>
      <patternFill patternType="solid">
        <fgColor theme="7" tint="-0.249977111117893"/>
        <bgColor indexed="64"/>
      </patternFill>
    </fill>
    <fill>
      <patternFill patternType="solid">
        <fgColor rgb="FF00FF00"/>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right/>
      <top/>
      <bottom style="thin">
        <color indexed="64"/>
      </bottom>
      <diagonal/>
    </border>
    <border>
      <left/>
      <right/>
      <top style="medium">
        <color indexed="64"/>
      </top>
      <bottom style="thin">
        <color indexed="64"/>
      </bottom>
      <diagonal/>
    </border>
    <border>
      <left/>
      <right/>
      <top style="thin">
        <color indexed="64"/>
      </top>
      <bottom/>
      <diagonal/>
    </border>
    <border>
      <left/>
      <right style="medium">
        <color indexed="64"/>
      </right>
      <top/>
      <bottom style="thin">
        <color indexed="64"/>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4">
    <xf numFmtId="0" fontId="0" fillId="0" borderId="0"/>
    <xf numFmtId="0" fontId="21" fillId="0" borderId="0"/>
    <xf numFmtId="0" fontId="2" fillId="0" borderId="0"/>
    <xf numFmtId="0" fontId="1" fillId="0" borderId="0"/>
  </cellStyleXfs>
  <cellXfs count="267">
    <xf numFmtId="0" fontId="0" fillId="0" borderId="0" xfId="0"/>
    <xf numFmtId="0" fontId="3" fillId="0" borderId="0" xfId="0" applyFont="1"/>
    <xf numFmtId="0" fontId="4" fillId="0" borderId="0" xfId="0" applyFont="1"/>
    <xf numFmtId="0" fontId="3" fillId="2" borderId="0" xfId="0" applyFont="1" applyFill="1"/>
    <xf numFmtId="0" fontId="5" fillId="2" borderId="0" xfId="0" applyFont="1" applyFill="1"/>
    <xf numFmtId="0" fontId="6" fillId="0" borderId="0" xfId="0" applyFont="1"/>
    <xf numFmtId="0" fontId="5" fillId="0" borderId="0" xfId="0" applyFont="1"/>
    <xf numFmtId="0" fontId="7" fillId="0" borderId="0" xfId="0" applyFont="1"/>
    <xf numFmtId="0" fontId="4" fillId="0" borderId="0" xfId="0" applyFont="1" applyProtection="1">
      <protection locked="0"/>
    </xf>
    <xf numFmtId="0" fontId="8" fillId="0" borderId="0" xfId="0" applyFont="1" applyProtection="1">
      <protection locked="0"/>
    </xf>
    <xf numFmtId="0" fontId="3" fillId="0" borderId="0" xfId="0" applyFont="1" applyProtection="1">
      <protection locked="0"/>
    </xf>
    <xf numFmtId="0" fontId="12" fillId="0" borderId="0" xfId="0" applyFont="1" applyProtection="1">
      <protection locked="0"/>
    </xf>
    <xf numFmtId="0" fontId="13" fillId="0" borderId="0" xfId="0" applyFont="1" applyProtection="1">
      <protection locked="0"/>
    </xf>
    <xf numFmtId="0" fontId="16" fillId="4" borderId="0" xfId="0" applyFont="1" applyFill="1"/>
    <xf numFmtId="0" fontId="26" fillId="0" borderId="0" xfId="0" applyFont="1"/>
    <xf numFmtId="0" fontId="23" fillId="0" borderId="0" xfId="1" applyFont="1" applyAlignment="1" applyProtection="1">
      <alignment horizontal="center"/>
      <protection locked="0"/>
    </xf>
    <xf numFmtId="0" fontId="3" fillId="0" borderId="0" xfId="1" applyFont="1" applyAlignment="1" applyProtection="1">
      <alignment horizontal="center"/>
      <protection locked="0"/>
    </xf>
    <xf numFmtId="0" fontId="3" fillId="0" borderId="0" xfId="1" applyFont="1" applyProtection="1">
      <protection locked="0"/>
    </xf>
    <xf numFmtId="0" fontId="28" fillId="0" borderId="0" xfId="1" applyFont="1" applyAlignment="1" applyProtection="1">
      <alignment horizontal="left"/>
      <protection locked="0"/>
    </xf>
    <xf numFmtId="0" fontId="29" fillId="6" borderId="13" xfId="0" applyFont="1" applyFill="1" applyBorder="1" applyAlignment="1">
      <alignment horizontal="center"/>
    </xf>
    <xf numFmtId="0" fontId="18" fillId="0" borderId="0" xfId="0" applyFont="1"/>
    <xf numFmtId="0" fontId="3" fillId="0" borderId="0" xfId="0" applyFont="1" applyAlignment="1" applyProtection="1">
      <alignment horizontal="center"/>
      <protection locked="0"/>
    </xf>
    <xf numFmtId="0" fontId="16" fillId="0" borderId="0" xfId="0" applyFont="1" applyAlignment="1">
      <alignment horizontal="center"/>
    </xf>
    <xf numFmtId="0" fontId="18" fillId="0" borderId="2" xfId="0" applyFont="1" applyBorder="1" applyAlignment="1">
      <alignment horizontal="center"/>
    </xf>
    <xf numFmtId="0" fontId="18" fillId="0" borderId="13" xfId="0" applyFont="1" applyBorder="1" applyAlignment="1">
      <alignment horizontal="center"/>
    </xf>
    <xf numFmtId="0" fontId="18" fillId="0" borderId="3" xfId="0" applyFont="1" applyBorder="1" applyAlignment="1">
      <alignment horizontal="center"/>
    </xf>
    <xf numFmtId="0" fontId="8" fillId="0" borderId="0" xfId="0" applyFont="1" applyAlignment="1" applyProtection="1">
      <alignment horizontal="center"/>
      <protection locked="0"/>
    </xf>
    <xf numFmtId="0" fontId="7" fillId="3" borderId="0" xfId="0" applyFont="1" applyFill="1"/>
    <xf numFmtId="0" fontId="6" fillId="10" borderId="0" xfId="0" applyFont="1" applyFill="1"/>
    <xf numFmtId="0" fontId="7" fillId="10" borderId="0" xfId="0" applyFont="1" applyFill="1"/>
    <xf numFmtId="0" fontId="6" fillId="3" borderId="0" xfId="0" applyFont="1" applyFill="1"/>
    <xf numFmtId="0" fontId="6" fillId="11" borderId="0" xfId="0" applyFont="1" applyFill="1"/>
    <xf numFmtId="0" fontId="7" fillId="11" borderId="0" xfId="0" applyFont="1" applyFill="1"/>
    <xf numFmtId="0" fontId="6" fillId="12" borderId="0" xfId="0" applyFont="1" applyFill="1"/>
    <xf numFmtId="0" fontId="7" fillId="12" borderId="0" xfId="0" applyFont="1" applyFill="1"/>
    <xf numFmtId="0" fontId="34" fillId="0" borderId="0" xfId="1" applyFont="1" applyAlignment="1" applyProtection="1">
      <alignment horizontal="center"/>
      <protection locked="0"/>
    </xf>
    <xf numFmtId="0" fontId="34" fillId="0" borderId="0" xfId="1" applyFont="1" applyProtection="1">
      <protection locked="0"/>
    </xf>
    <xf numFmtId="0" fontId="32" fillId="3" borderId="1" xfId="0" applyFont="1" applyFill="1" applyBorder="1" applyAlignment="1">
      <alignment horizontal="center"/>
    </xf>
    <xf numFmtId="0" fontId="9" fillId="3" borderId="1" xfId="0" applyFont="1" applyFill="1" applyBorder="1" applyAlignment="1">
      <alignment horizontal="center"/>
    </xf>
    <xf numFmtId="0" fontId="11" fillId="0" borderId="1" xfId="0" applyFont="1" applyBorder="1" applyAlignment="1">
      <alignment horizontal="center"/>
    </xf>
    <xf numFmtId="20" fontId="9" fillId="3" borderId="1" xfId="0" applyNumberFormat="1" applyFont="1" applyFill="1" applyBorder="1" applyAlignment="1">
      <alignment horizontal="center"/>
    </xf>
    <xf numFmtId="164" fontId="34" fillId="9" borderId="0" xfId="1" applyNumberFormat="1" applyFont="1" applyFill="1" applyAlignment="1" applyProtection="1">
      <alignment horizontal="center"/>
      <protection locked="0"/>
    </xf>
    <xf numFmtId="0" fontId="8" fillId="0" borderId="0" xfId="0" applyFont="1"/>
    <xf numFmtId="0" fontId="8" fillId="0" borderId="0" xfId="0" applyFont="1" applyAlignment="1">
      <alignment horizontal="center"/>
    </xf>
    <xf numFmtId="0" fontId="3" fillId="0" borderId="0" xfId="0" applyFont="1" applyAlignment="1">
      <alignment horizontal="center"/>
    </xf>
    <xf numFmtId="0" fontId="9" fillId="0" borderId="0" xfId="0" applyFont="1" applyAlignment="1">
      <alignment horizontal="center"/>
    </xf>
    <xf numFmtId="14" fontId="19" fillId="0" borderId="1" xfId="0" applyNumberFormat="1" applyFont="1" applyBorder="1" applyAlignment="1">
      <alignment horizontal="center"/>
    </xf>
    <xf numFmtId="0" fontId="10" fillId="0" borderId="0" xfId="0" applyFont="1" applyAlignment="1">
      <alignment horizontal="center"/>
    </xf>
    <xf numFmtId="0" fontId="10" fillId="0" borderId="0" xfId="0" applyFont="1"/>
    <xf numFmtId="0" fontId="11" fillId="0" borderId="0" xfId="0" applyFont="1" applyAlignment="1">
      <alignment horizontal="center"/>
    </xf>
    <xf numFmtId="20" fontId="20" fillId="0" borderId="1" xfId="0" applyNumberFormat="1" applyFont="1" applyBorder="1" applyAlignment="1">
      <alignment horizontal="center"/>
    </xf>
    <xf numFmtId="0" fontId="9" fillId="0" borderId="0" xfId="0" applyFont="1"/>
    <xf numFmtId="0" fontId="17" fillId="5" borderId="0" xfId="0" applyFont="1" applyFill="1"/>
    <xf numFmtId="0" fontId="14" fillId="4" borderId="0" xfId="0" applyFont="1" applyFill="1"/>
    <xf numFmtId="0" fontId="15" fillId="0" borderId="0" xfId="0" applyFont="1"/>
    <xf numFmtId="0" fontId="13" fillId="0" borderId="0" xfId="0" applyFont="1"/>
    <xf numFmtId="0" fontId="13" fillId="0" borderId="0" xfId="0" applyFont="1" applyAlignment="1">
      <alignment horizontal="center"/>
    </xf>
    <xf numFmtId="0" fontId="12" fillId="0" borderId="0" xfId="0" applyFont="1"/>
    <xf numFmtId="0" fontId="24" fillId="3" borderId="13" xfId="1" applyFont="1" applyFill="1" applyBorder="1" applyAlignment="1" applyProtection="1">
      <alignment horizontal="center"/>
      <protection locked="0"/>
    </xf>
    <xf numFmtId="0" fontId="3" fillId="0" borderId="11" xfId="1" applyFont="1" applyBorder="1" applyAlignment="1">
      <alignment horizontal="center"/>
    </xf>
    <xf numFmtId="0" fontId="3" fillId="0" borderId="8" xfId="1" applyFont="1" applyBorder="1" applyAlignment="1">
      <alignment horizontal="center"/>
    </xf>
    <xf numFmtId="0" fontId="36" fillId="0" borderId="0" xfId="0" applyFont="1"/>
    <xf numFmtId="0" fontId="36" fillId="0" borderId="0" xfId="0" applyFont="1" applyAlignment="1">
      <alignment horizontal="center"/>
    </xf>
    <xf numFmtId="0" fontId="36" fillId="15" borderId="0" xfId="0" applyFont="1" applyFill="1" applyAlignment="1">
      <alignment horizontal="center"/>
    </xf>
    <xf numFmtId="0" fontId="3" fillId="0" borderId="0" xfId="1" applyFont="1" applyAlignment="1">
      <alignment horizontal="center"/>
    </xf>
    <xf numFmtId="165" fontId="4" fillId="0" borderId="0" xfId="0" applyNumberFormat="1" applyFont="1"/>
    <xf numFmtId="165" fontId="4" fillId="0" borderId="0" xfId="0" applyNumberFormat="1" applyFont="1" applyAlignment="1">
      <alignment horizontal="center"/>
    </xf>
    <xf numFmtId="0" fontId="35" fillId="6" borderId="13" xfId="0" applyFont="1" applyFill="1" applyBorder="1" applyAlignment="1">
      <alignment horizontal="center"/>
    </xf>
    <xf numFmtId="0" fontId="22" fillId="14" borderId="18" xfId="1" applyFont="1" applyFill="1" applyBorder="1" applyAlignment="1" applyProtection="1">
      <alignment horizontal="center"/>
      <protection locked="0"/>
    </xf>
    <xf numFmtId="20" fontId="38" fillId="0" borderId="20" xfId="1" applyNumberFormat="1" applyFont="1" applyBorder="1" applyAlignment="1">
      <alignment horizontal="center"/>
    </xf>
    <xf numFmtId="0" fontId="38" fillId="0" borderId="15" xfId="1" applyFont="1" applyBorder="1" applyAlignment="1">
      <alignment horizontal="center"/>
    </xf>
    <xf numFmtId="20" fontId="38" fillId="0" borderId="16" xfId="1" applyNumberFormat="1" applyFont="1" applyBorder="1" applyAlignment="1">
      <alignment horizontal="center"/>
    </xf>
    <xf numFmtId="20" fontId="22" fillId="14" borderId="21" xfId="1" applyNumberFormat="1" applyFont="1" applyFill="1" applyBorder="1" applyProtection="1">
      <protection locked="0"/>
    </xf>
    <xf numFmtId="20" fontId="41" fillId="0" borderId="16" xfId="1" applyNumberFormat="1" applyFont="1" applyBorder="1" applyAlignment="1">
      <alignment horizontal="center"/>
    </xf>
    <xf numFmtId="0" fontId="41" fillId="0" borderId="15" xfId="1" applyFont="1" applyBorder="1" applyAlignment="1">
      <alignment horizontal="center"/>
    </xf>
    <xf numFmtId="0" fontId="37" fillId="18" borderId="5" xfId="1" applyFont="1" applyFill="1" applyBorder="1" applyAlignment="1">
      <alignment horizontal="center"/>
    </xf>
    <xf numFmtId="0" fontId="37" fillId="18" borderId="6" xfId="1" applyFont="1" applyFill="1" applyBorder="1" applyAlignment="1">
      <alignment horizontal="center"/>
    </xf>
    <xf numFmtId="0" fontId="37" fillId="18" borderId="7" xfId="1" applyFont="1" applyFill="1" applyBorder="1" applyAlignment="1">
      <alignment horizontal="center"/>
    </xf>
    <xf numFmtId="0" fontId="22" fillId="17" borderId="18" xfId="1" applyFont="1" applyFill="1" applyBorder="1" applyAlignment="1" applyProtection="1">
      <alignment horizontal="center"/>
      <protection locked="0"/>
    </xf>
    <xf numFmtId="0" fontId="41" fillId="0" borderId="0" xfId="1" applyFont="1" applyAlignment="1">
      <alignment horizontal="center"/>
    </xf>
    <xf numFmtId="0" fontId="22" fillId="17" borderId="12" xfId="1" applyFont="1" applyFill="1" applyBorder="1" applyAlignment="1" applyProtection="1">
      <alignment horizontal="center"/>
      <protection locked="0"/>
    </xf>
    <xf numFmtId="20" fontId="41" fillId="0" borderId="6" xfId="1" applyNumberFormat="1" applyFont="1" applyBorder="1" applyAlignment="1">
      <alignment horizontal="center"/>
    </xf>
    <xf numFmtId="0" fontId="3" fillId="17" borderId="24" xfId="1" applyFont="1" applyFill="1" applyBorder="1" applyAlignment="1">
      <alignment horizontal="center"/>
    </xf>
    <xf numFmtId="20" fontId="22" fillId="17" borderId="14" xfId="1" applyNumberFormat="1" applyFont="1" applyFill="1" applyBorder="1" applyProtection="1">
      <protection locked="0"/>
    </xf>
    <xf numFmtId="20" fontId="36" fillId="15" borderId="0" xfId="0" applyNumberFormat="1" applyFont="1" applyFill="1" applyAlignment="1">
      <alignment horizontal="center"/>
    </xf>
    <xf numFmtId="0" fontId="44" fillId="0" borderId="0" xfId="1" applyFont="1" applyAlignment="1">
      <alignment horizontal="center"/>
    </xf>
    <xf numFmtId="164" fontId="44" fillId="9" borderId="0" xfId="1" applyNumberFormat="1" applyFont="1" applyFill="1" applyAlignment="1">
      <alignment horizontal="center"/>
    </xf>
    <xf numFmtId="0" fontId="37" fillId="16" borderId="5" xfId="0" applyFont="1" applyFill="1" applyBorder="1" applyAlignment="1">
      <alignment horizontal="center"/>
    </xf>
    <xf numFmtId="0" fontId="37" fillId="16" borderId="6" xfId="0" applyFont="1" applyFill="1" applyBorder="1" applyAlignment="1">
      <alignment horizontal="center"/>
    </xf>
    <xf numFmtId="0" fontId="36" fillId="0" borderId="6" xfId="0" applyFont="1" applyBorder="1"/>
    <xf numFmtId="0" fontId="36" fillId="0" borderId="6" xfId="0" applyFont="1" applyBorder="1" applyAlignment="1">
      <alignment horizontal="center"/>
    </xf>
    <xf numFmtId="0" fontId="36" fillId="0" borderId="7" xfId="0" applyFont="1" applyBorder="1" applyAlignment="1">
      <alignment horizontal="center"/>
    </xf>
    <xf numFmtId="0" fontId="24" fillId="8" borderId="1" xfId="1" applyFont="1" applyFill="1" applyBorder="1" applyAlignment="1">
      <alignment horizontal="center"/>
    </xf>
    <xf numFmtId="0" fontId="37" fillId="16" borderId="0" xfId="0" applyFont="1" applyFill="1" applyAlignment="1">
      <alignment horizontal="center"/>
    </xf>
    <xf numFmtId="0" fontId="36" fillId="15" borderId="12" xfId="0" applyFont="1" applyFill="1" applyBorder="1" applyAlignment="1">
      <alignment horizontal="center"/>
    </xf>
    <xf numFmtId="0" fontId="36" fillId="0" borderId="11" xfId="0" applyFont="1" applyBorder="1"/>
    <xf numFmtId="0" fontId="36" fillId="0" borderId="12" xfId="0" applyFont="1" applyBorder="1" applyAlignment="1">
      <alignment horizontal="center"/>
    </xf>
    <xf numFmtId="0" fontId="36" fillId="0" borderId="8" xfId="0" applyFont="1" applyBorder="1"/>
    <xf numFmtId="0" fontId="37" fillId="16" borderId="9" xfId="0" applyFont="1" applyFill="1" applyBorder="1" applyAlignment="1">
      <alignment horizontal="center"/>
    </xf>
    <xf numFmtId="0" fontId="36" fillId="15" borderId="9" xfId="0" applyFont="1" applyFill="1" applyBorder="1" applyAlignment="1">
      <alignment horizontal="center"/>
    </xf>
    <xf numFmtId="0" fontId="36" fillId="0" borderId="9" xfId="0" applyFont="1" applyBorder="1" applyAlignment="1">
      <alignment horizontal="center"/>
    </xf>
    <xf numFmtId="0" fontId="36" fillId="0" borderId="9" xfId="0" applyFont="1" applyBorder="1"/>
    <xf numFmtId="0" fontId="3" fillId="19" borderId="3" xfId="1" applyFont="1" applyFill="1" applyBorder="1" applyAlignment="1">
      <alignment horizontal="center"/>
    </xf>
    <xf numFmtId="0" fontId="37" fillId="18" borderId="2" xfId="1" applyFont="1" applyFill="1" applyBorder="1" applyAlignment="1">
      <alignment horizontal="center"/>
    </xf>
    <xf numFmtId="0" fontId="3" fillId="3" borderId="3" xfId="1" applyFont="1" applyFill="1" applyBorder="1" applyAlignment="1">
      <alignment horizontal="center"/>
    </xf>
    <xf numFmtId="0" fontId="24" fillId="8" borderId="2" xfId="1" applyFont="1" applyFill="1" applyBorder="1" applyAlignment="1">
      <alignment horizontal="center"/>
    </xf>
    <xf numFmtId="0" fontId="28" fillId="6" borderId="13" xfId="1" applyFont="1" applyFill="1" applyBorder="1" applyAlignment="1">
      <alignment horizontal="center"/>
    </xf>
    <xf numFmtId="0" fontId="28" fillId="6" borderId="3" xfId="1" applyFont="1" applyFill="1" applyBorder="1" applyAlignment="1">
      <alignment horizontal="center"/>
    </xf>
    <xf numFmtId="0" fontId="3" fillId="3" borderId="3" xfId="1" applyFont="1" applyFill="1" applyBorder="1" applyProtection="1">
      <protection locked="0"/>
    </xf>
    <xf numFmtId="0" fontId="24" fillId="8" borderId="5" xfId="1" applyFont="1" applyFill="1" applyBorder="1" applyAlignment="1">
      <alignment horizontal="center"/>
    </xf>
    <xf numFmtId="0" fontId="22" fillId="17" borderId="4" xfId="1" applyFont="1" applyFill="1" applyBorder="1" applyAlignment="1" applyProtection="1">
      <alignment horizontal="center"/>
      <protection locked="0"/>
    </xf>
    <xf numFmtId="0" fontId="3" fillId="17" borderId="23" xfId="1" applyFont="1" applyFill="1" applyBorder="1" applyAlignment="1" applyProtection="1">
      <alignment horizontal="center"/>
      <protection locked="0"/>
    </xf>
    <xf numFmtId="0" fontId="40" fillId="12" borderId="1" xfId="1" applyFont="1" applyFill="1" applyBorder="1" applyAlignment="1">
      <alignment horizontal="center"/>
    </xf>
    <xf numFmtId="0" fontId="45" fillId="9" borderId="11" xfId="1" applyFont="1" applyFill="1" applyBorder="1" applyAlignment="1" applyProtection="1">
      <alignment horizontal="center"/>
      <protection locked="0"/>
    </xf>
    <xf numFmtId="0" fontId="30" fillId="6" borderId="11" xfId="0" applyFont="1" applyFill="1" applyBorder="1" applyAlignment="1">
      <alignment horizontal="center"/>
    </xf>
    <xf numFmtId="0" fontId="35" fillId="6" borderId="0" xfId="0" applyFont="1" applyFill="1" applyAlignment="1">
      <alignment horizontal="center"/>
    </xf>
    <xf numFmtId="0" fontId="29" fillId="6" borderId="0" xfId="0" applyFont="1" applyFill="1" applyAlignment="1">
      <alignment horizontal="center"/>
    </xf>
    <xf numFmtId="0" fontId="28" fillId="6" borderId="0" xfId="1" applyFont="1" applyFill="1" applyAlignment="1">
      <alignment horizontal="center"/>
    </xf>
    <xf numFmtId="0" fontId="28" fillId="6" borderId="9" xfId="1" applyFont="1" applyFill="1" applyBorder="1" applyAlignment="1">
      <alignment horizontal="center"/>
    </xf>
    <xf numFmtId="0" fontId="6" fillId="20" borderId="0" xfId="0" applyFont="1" applyFill="1"/>
    <xf numFmtId="0" fontId="7" fillId="20" borderId="0" xfId="0" applyFont="1" applyFill="1"/>
    <xf numFmtId="0" fontId="33" fillId="9" borderId="2" xfId="1" applyFont="1" applyFill="1" applyBorder="1" applyAlignment="1" applyProtection="1">
      <alignment horizontal="center"/>
      <protection locked="0"/>
    </xf>
    <xf numFmtId="0" fontId="33" fillId="9" borderId="3" xfId="0" applyFont="1" applyFill="1" applyBorder="1" applyAlignment="1">
      <alignment horizontal="center"/>
    </xf>
    <xf numFmtId="0" fontId="18" fillId="0" borderId="0" xfId="2" applyFont="1" applyAlignment="1">
      <alignment horizontal="center"/>
    </xf>
    <xf numFmtId="0" fontId="36" fillId="0" borderId="0" xfId="2" applyFont="1"/>
    <xf numFmtId="165" fontId="39" fillId="9" borderId="0" xfId="2" applyNumberFormat="1" applyFont="1" applyFill="1" applyAlignment="1">
      <alignment horizontal="center"/>
    </xf>
    <xf numFmtId="0" fontId="36" fillId="0" borderId="0" xfId="2" applyFont="1" applyAlignment="1">
      <alignment horizontal="left"/>
    </xf>
    <xf numFmtId="165" fontId="39" fillId="2" borderId="0" xfId="2" applyNumberFormat="1" applyFont="1" applyFill="1" applyAlignment="1">
      <alignment horizontal="center"/>
    </xf>
    <xf numFmtId="0" fontId="36" fillId="2" borderId="0" xfId="2" applyFont="1" applyFill="1"/>
    <xf numFmtId="0" fontId="36" fillId="2" borderId="0" xfId="2" applyFont="1" applyFill="1" applyAlignment="1">
      <alignment horizontal="left"/>
    </xf>
    <xf numFmtId="0" fontId="36" fillId="0" borderId="0" xfId="2" applyFont="1" applyAlignment="1">
      <alignment horizontal="center"/>
    </xf>
    <xf numFmtId="165" fontId="39" fillId="0" borderId="0" xfId="2" applyNumberFormat="1" applyFont="1" applyAlignment="1">
      <alignment horizontal="center"/>
    </xf>
    <xf numFmtId="0" fontId="46" fillId="0" borderId="0" xfId="1" applyFont="1" applyProtection="1">
      <protection locked="0"/>
    </xf>
    <xf numFmtId="0" fontId="47" fillId="0" borderId="0" xfId="1" applyFont="1" applyProtection="1">
      <protection locked="0"/>
    </xf>
    <xf numFmtId="0" fontId="48" fillId="0" borderId="0" xfId="1" applyFont="1" applyProtection="1">
      <protection locked="0"/>
    </xf>
    <xf numFmtId="0" fontId="3" fillId="0" borderId="2" xfId="1" applyFont="1" applyBorder="1" applyAlignment="1">
      <alignment horizontal="center"/>
    </xf>
    <xf numFmtId="0" fontId="3" fillId="0" borderId="13" xfId="1" applyFont="1" applyBorder="1"/>
    <xf numFmtId="0" fontId="24" fillId="13" borderId="13" xfId="1" applyFont="1" applyFill="1" applyBorder="1" applyAlignment="1">
      <alignment horizontal="center"/>
    </xf>
    <xf numFmtId="0" fontId="31" fillId="6" borderId="13" xfId="0" applyFont="1" applyFill="1" applyBorder="1" applyAlignment="1">
      <alignment horizontal="center"/>
    </xf>
    <xf numFmtId="0" fontId="3" fillId="0" borderId="3" xfId="1" applyFont="1" applyBorder="1"/>
    <xf numFmtId="0" fontId="38" fillId="5" borderId="17" xfId="1" applyFont="1" applyFill="1" applyBorder="1" applyAlignment="1">
      <alignment horizontal="center"/>
    </xf>
    <xf numFmtId="0" fontId="39" fillId="9" borderId="24" xfId="1" applyFont="1" applyFill="1" applyBorder="1" applyAlignment="1" applyProtection="1">
      <alignment horizontal="left"/>
      <protection locked="0"/>
    </xf>
    <xf numFmtId="0" fontId="24" fillId="21" borderId="5" xfId="1" applyFont="1" applyFill="1" applyBorder="1" applyAlignment="1" applyProtection="1">
      <alignment horizontal="center"/>
      <protection locked="0"/>
    </xf>
    <xf numFmtId="0" fontId="49" fillId="0" borderId="7" xfId="1" applyFont="1" applyBorder="1" applyAlignment="1">
      <alignment horizontal="center"/>
    </xf>
    <xf numFmtId="20" fontId="49" fillId="0" borderId="8" xfId="1" applyNumberFormat="1" applyFont="1" applyBorder="1" applyAlignment="1">
      <alignment horizontal="center"/>
    </xf>
    <xf numFmtId="0" fontId="49" fillId="0" borderId="10" xfId="1" applyFont="1" applyBorder="1" applyAlignment="1">
      <alignment horizontal="center"/>
    </xf>
    <xf numFmtId="0" fontId="38" fillId="0" borderId="17" xfId="1" applyFont="1" applyBorder="1" applyAlignment="1">
      <alignment horizontal="center"/>
    </xf>
    <xf numFmtId="0" fontId="3" fillId="14" borderId="6" xfId="1" applyFont="1" applyFill="1" applyBorder="1" applyAlignment="1" applyProtection="1">
      <alignment horizontal="right"/>
      <protection locked="0"/>
    </xf>
    <xf numFmtId="0" fontId="3" fillId="14" borderId="7" xfId="1" applyFont="1" applyFill="1" applyBorder="1" applyAlignment="1" applyProtection="1">
      <alignment horizontal="right"/>
      <protection locked="0"/>
    </xf>
    <xf numFmtId="0" fontId="3" fillId="17" borderId="6" xfId="1" applyFont="1" applyFill="1" applyBorder="1" applyAlignment="1" applyProtection="1">
      <alignment horizontal="right"/>
      <protection locked="0"/>
    </xf>
    <xf numFmtId="0" fontId="3" fillId="17" borderId="7" xfId="1" applyFont="1" applyFill="1" applyBorder="1" applyAlignment="1" applyProtection="1">
      <alignment horizontal="right"/>
      <protection locked="0"/>
    </xf>
    <xf numFmtId="0" fontId="35" fillId="9" borderId="0" xfId="2" applyFont="1" applyFill="1" applyAlignment="1">
      <alignment horizontal="center"/>
    </xf>
    <xf numFmtId="0" fontId="35" fillId="2" borderId="0" xfId="2" applyFont="1" applyFill="1" applyAlignment="1">
      <alignment horizontal="center"/>
    </xf>
    <xf numFmtId="0" fontId="24" fillId="7" borderId="13" xfId="1" applyFont="1" applyFill="1" applyBorder="1" applyAlignment="1" applyProtection="1">
      <alignment horizontal="center"/>
      <protection locked="0"/>
    </xf>
    <xf numFmtId="0" fontId="50" fillId="2" borderId="0" xfId="0" applyFont="1" applyFill="1" applyAlignment="1">
      <alignment horizontal="center" wrapText="1"/>
    </xf>
    <xf numFmtId="0" fontId="22" fillId="2" borderId="0" xfId="0" applyFont="1" applyFill="1" applyAlignment="1">
      <alignment horizontal="center" wrapText="1"/>
    </xf>
    <xf numFmtId="0" fontId="51" fillId="0" borderId="0" xfId="0" applyFont="1" applyAlignment="1">
      <alignment wrapText="1"/>
    </xf>
    <xf numFmtId="0" fontId="5" fillId="0" borderId="0" xfId="0" applyFont="1" applyAlignment="1">
      <alignment horizontal="center"/>
    </xf>
    <xf numFmtId="0" fontId="4" fillId="0" borderId="0" xfId="1" applyFont="1" applyAlignment="1">
      <alignment horizontal="center"/>
    </xf>
    <xf numFmtId="3" fontId="25" fillId="0" borderId="0" xfId="0" applyNumberFormat="1" applyFont="1" applyAlignment="1">
      <alignment horizontal="center"/>
    </xf>
    <xf numFmtId="0" fontId="5" fillId="0" borderId="0" xfId="1" applyFont="1" applyAlignment="1">
      <alignment horizontal="center"/>
    </xf>
    <xf numFmtId="0" fontId="26" fillId="0" borderId="0" xfId="0" applyFont="1" applyAlignment="1">
      <alignment horizontal="center"/>
    </xf>
    <xf numFmtId="0" fontId="5" fillId="9" borderId="0" xfId="0" applyFont="1" applyFill="1" applyAlignment="1">
      <alignment horizontal="center"/>
    </xf>
    <xf numFmtId="0" fontId="4" fillId="9" borderId="0" xfId="0" applyFont="1" applyFill="1" applyAlignment="1">
      <alignment horizontal="center"/>
    </xf>
    <xf numFmtId="0" fontId="3" fillId="9" borderId="0" xfId="0" applyFont="1" applyFill="1" applyAlignment="1">
      <alignment horizontal="center"/>
    </xf>
    <xf numFmtId="0" fontId="18" fillId="0" borderId="0" xfId="0" applyFont="1" applyAlignment="1">
      <alignment horizontal="center"/>
    </xf>
    <xf numFmtId="0" fontId="36" fillId="22" borderId="0" xfId="0" applyFont="1" applyFill="1" applyAlignment="1">
      <alignment horizontal="center"/>
    </xf>
    <xf numFmtId="0" fontId="18" fillId="22" borderId="0" xfId="0" applyFont="1" applyFill="1" applyAlignment="1">
      <alignment horizontal="center"/>
    </xf>
    <xf numFmtId="165" fontId="37" fillId="8" borderId="24" xfId="0" applyNumberFormat="1" applyFont="1" applyFill="1" applyBorder="1" applyAlignment="1">
      <alignment horizontal="center"/>
    </xf>
    <xf numFmtId="0" fontId="37" fillId="8" borderId="24" xfId="0" applyFont="1" applyFill="1" applyBorder="1" applyAlignment="1">
      <alignment horizontal="center"/>
    </xf>
    <xf numFmtId="165" fontId="52" fillId="9" borderId="0" xfId="0" applyNumberFormat="1" applyFont="1" applyFill="1" applyAlignment="1">
      <alignment horizontal="center"/>
    </xf>
    <xf numFmtId="0" fontId="53" fillId="9" borderId="0" xfId="0" applyFont="1" applyFill="1" applyAlignment="1">
      <alignment horizontal="center"/>
    </xf>
    <xf numFmtId="165" fontId="52" fillId="22" borderId="0" xfId="0" applyNumberFormat="1" applyFont="1" applyFill="1" applyAlignment="1">
      <alignment horizontal="center"/>
    </xf>
    <xf numFmtId="0" fontId="53" fillId="22" borderId="0" xfId="0" applyFont="1" applyFill="1" applyAlignment="1">
      <alignment horizontal="center"/>
    </xf>
    <xf numFmtId="0" fontId="18" fillId="22" borderId="0" xfId="2" applyFont="1" applyFill="1" applyAlignment="1">
      <alignment horizontal="center"/>
    </xf>
    <xf numFmtId="0" fontId="32" fillId="3" borderId="2" xfId="0" applyFont="1" applyFill="1" applyBorder="1" applyAlignment="1">
      <alignment horizontal="center"/>
    </xf>
    <xf numFmtId="0" fontId="55" fillId="9" borderId="11" xfId="1" applyFont="1" applyFill="1" applyBorder="1" applyAlignment="1" applyProtection="1">
      <alignment horizontal="center"/>
      <protection locked="0"/>
    </xf>
    <xf numFmtId="0" fontId="54" fillId="20" borderId="1" xfId="1" applyFont="1" applyFill="1" applyBorder="1" applyAlignment="1">
      <alignment horizontal="center"/>
    </xf>
    <xf numFmtId="0" fontId="56" fillId="0" borderId="0" xfId="0" applyFont="1"/>
    <xf numFmtId="0" fontId="50" fillId="0" borderId="13" xfId="1" applyFont="1" applyBorder="1" applyAlignment="1">
      <alignment horizontal="center"/>
    </xf>
    <xf numFmtId="0" fontId="55" fillId="9" borderId="8" xfId="1" applyFont="1" applyFill="1" applyBorder="1" applyAlignment="1" applyProtection="1">
      <alignment horizontal="center"/>
      <protection locked="0"/>
    </xf>
    <xf numFmtId="0" fontId="57" fillId="0" borderId="0" xfId="1" applyFont="1"/>
    <xf numFmtId="0" fontId="56" fillId="0" borderId="0" xfId="0" applyFont="1" applyAlignment="1">
      <alignment horizontal="center" vertical="center"/>
    </xf>
    <xf numFmtId="0" fontId="9" fillId="0" borderId="0" xfId="1" applyFont="1" applyAlignment="1">
      <alignment horizontal="center" vertical="center"/>
    </xf>
    <xf numFmtId="164" fontId="58" fillId="9" borderId="0" xfId="1" applyNumberFormat="1" applyFont="1" applyFill="1" applyAlignment="1">
      <alignment horizontal="center" vertical="center"/>
    </xf>
    <xf numFmtId="0" fontId="47" fillId="22" borderId="0" xfId="0" applyFont="1" applyFill="1" applyAlignment="1">
      <alignment horizontal="center"/>
    </xf>
    <xf numFmtId="0" fontId="24" fillId="21" borderId="2" xfId="1" applyFont="1" applyFill="1" applyBorder="1" applyAlignment="1" applyProtection="1">
      <alignment horizontal="center"/>
      <protection locked="0"/>
    </xf>
    <xf numFmtId="20" fontId="49" fillId="0" borderId="3" xfId="1" applyNumberFormat="1" applyFont="1" applyBorder="1" applyAlignment="1">
      <alignment horizontal="center"/>
    </xf>
    <xf numFmtId="3" fontId="25" fillId="0" borderId="25" xfId="0" applyNumberFormat="1" applyFont="1" applyBorder="1" applyAlignment="1">
      <alignment horizontal="center"/>
    </xf>
    <xf numFmtId="0" fontId="18" fillId="0" borderId="0" xfId="2" applyFont="1"/>
    <xf numFmtId="0" fontId="49" fillId="0" borderId="7" xfId="1" applyFont="1" applyBorder="1" applyAlignment="1" applyProtection="1">
      <alignment horizontal="center"/>
      <protection locked="0"/>
    </xf>
    <xf numFmtId="20" fontId="49" fillId="0" borderId="8" xfId="1" applyNumberFormat="1" applyFont="1" applyBorder="1" applyAlignment="1" applyProtection="1">
      <alignment horizontal="center"/>
      <protection locked="0"/>
    </xf>
    <xf numFmtId="0" fontId="49" fillId="0" borderId="10" xfId="1" applyFont="1" applyBorder="1" applyAlignment="1" applyProtection="1">
      <alignment horizontal="center"/>
      <protection locked="0"/>
    </xf>
    <xf numFmtId="0" fontId="41" fillId="0" borderId="17" xfId="1" applyFont="1" applyBorder="1" applyAlignment="1">
      <alignment horizontal="center"/>
    </xf>
    <xf numFmtId="0" fontId="42" fillId="9" borderId="24" xfId="1" applyFont="1" applyFill="1" applyBorder="1" applyAlignment="1" applyProtection="1">
      <alignment horizontal="left"/>
      <protection locked="0"/>
    </xf>
    <xf numFmtId="0" fontId="27" fillId="9" borderId="13" xfId="1" applyFont="1" applyFill="1" applyBorder="1" applyAlignment="1" applyProtection="1">
      <alignment horizontal="center"/>
      <protection locked="0"/>
    </xf>
    <xf numFmtId="0" fontId="55" fillId="9" borderId="13" xfId="1" applyFont="1" applyFill="1" applyBorder="1" applyAlignment="1" applyProtection="1">
      <alignment horizontal="center"/>
      <protection locked="0"/>
    </xf>
    <xf numFmtId="0" fontId="3" fillId="0" borderId="13" xfId="1" applyFont="1" applyBorder="1" applyAlignment="1">
      <alignment horizontal="center"/>
    </xf>
    <xf numFmtId="0" fontId="3" fillId="0" borderId="3" xfId="1" applyFont="1" applyBorder="1" applyAlignment="1">
      <alignment horizontal="center"/>
    </xf>
    <xf numFmtId="0" fontId="40" fillId="12" borderId="4" xfId="1" applyFont="1" applyFill="1" applyBorder="1" applyAlignment="1">
      <alignment horizontal="center"/>
    </xf>
    <xf numFmtId="0" fontId="34" fillId="0" borderId="0" xfId="1" applyFont="1" applyAlignment="1">
      <alignment vertical="center"/>
    </xf>
    <xf numFmtId="0" fontId="49" fillId="0" borderId="0" xfId="1" applyFont="1" applyAlignment="1" applyProtection="1">
      <alignment horizontal="center"/>
      <protection locked="0"/>
    </xf>
    <xf numFmtId="20" fontId="49" fillId="0" borderId="0" xfId="1" applyNumberFormat="1" applyFont="1" applyAlignment="1" applyProtection="1">
      <alignment horizontal="center"/>
      <protection locked="0"/>
    </xf>
    <xf numFmtId="0" fontId="24" fillId="0" borderId="0" xfId="1" applyFont="1" applyAlignment="1" applyProtection="1">
      <alignment horizontal="center"/>
      <protection locked="0"/>
    </xf>
    <xf numFmtId="0" fontId="4" fillId="0" borderId="5" xfId="0" applyFont="1" applyBorder="1" applyAlignment="1" applyProtection="1">
      <alignment horizontal="center" wrapText="1"/>
      <protection locked="0"/>
    </xf>
    <xf numFmtId="0" fontId="4" fillId="0" borderId="6" xfId="0" applyFont="1" applyBorder="1" applyAlignment="1" applyProtection="1">
      <alignment horizontal="center" wrapText="1"/>
      <protection locked="0"/>
    </xf>
    <xf numFmtId="0" fontId="4" fillId="0" borderId="7" xfId="0" applyFont="1" applyBorder="1" applyAlignment="1" applyProtection="1">
      <alignment horizontal="center" wrapText="1"/>
      <protection locked="0"/>
    </xf>
    <xf numFmtId="0" fontId="4" fillId="0" borderId="11" xfId="0" applyFont="1" applyBorder="1" applyAlignment="1" applyProtection="1">
      <alignment horizontal="center" wrapText="1"/>
      <protection locked="0"/>
    </xf>
    <xf numFmtId="0" fontId="4" fillId="0" borderId="0" xfId="0" applyFont="1" applyAlignment="1" applyProtection="1">
      <alignment horizontal="center" wrapText="1"/>
      <protection locked="0"/>
    </xf>
    <xf numFmtId="0" fontId="4" fillId="0" borderId="12" xfId="0" applyFont="1" applyBorder="1" applyAlignment="1" applyProtection="1">
      <alignment horizontal="center" wrapText="1"/>
      <protection locked="0"/>
    </xf>
    <xf numFmtId="0" fontId="4" fillId="0" borderId="8" xfId="0" applyFont="1" applyBorder="1" applyAlignment="1" applyProtection="1">
      <alignment horizontal="center" wrapText="1"/>
      <protection locked="0"/>
    </xf>
    <xf numFmtId="0" fontId="4" fillId="0" borderId="9" xfId="0" applyFont="1" applyBorder="1" applyAlignment="1" applyProtection="1">
      <alignment horizontal="center" wrapText="1"/>
      <protection locked="0"/>
    </xf>
    <xf numFmtId="0" fontId="4" fillId="0" borderId="10" xfId="0" applyFont="1" applyBorder="1" applyAlignment="1" applyProtection="1">
      <alignment horizontal="center" wrapText="1"/>
      <protection locked="0"/>
    </xf>
    <xf numFmtId="0" fontId="4" fillId="0" borderId="5" xfId="0" applyFont="1" applyBorder="1" applyAlignment="1">
      <alignment horizontal="center" wrapText="1"/>
    </xf>
    <xf numFmtId="0" fontId="4" fillId="0" borderId="6" xfId="0" applyFont="1" applyBorder="1" applyAlignment="1">
      <alignment horizontal="center" wrapText="1"/>
    </xf>
    <xf numFmtId="0" fontId="4" fillId="0" borderId="7" xfId="0" applyFont="1" applyBorder="1" applyAlignment="1">
      <alignment horizontal="center" wrapText="1"/>
    </xf>
    <xf numFmtId="0" fontId="4" fillId="0" borderId="11" xfId="0" applyFont="1" applyBorder="1" applyAlignment="1">
      <alignment horizontal="center" wrapText="1"/>
    </xf>
    <xf numFmtId="0" fontId="4" fillId="0" borderId="0" xfId="0" applyFont="1" applyAlignment="1">
      <alignment horizontal="center" wrapText="1"/>
    </xf>
    <xf numFmtId="0" fontId="4" fillId="0" borderId="12" xfId="0" applyFont="1" applyBorder="1" applyAlignment="1">
      <alignment horizontal="center" wrapText="1"/>
    </xf>
    <xf numFmtId="0" fontId="4" fillId="0" borderId="8" xfId="0" applyFont="1" applyBorder="1" applyAlignment="1">
      <alignment horizontal="center" wrapText="1"/>
    </xf>
    <xf numFmtId="0" fontId="4" fillId="0" borderId="9" xfId="0" applyFont="1" applyBorder="1" applyAlignment="1">
      <alignment horizontal="center" wrapText="1"/>
    </xf>
    <xf numFmtId="0" fontId="4" fillId="0" borderId="10" xfId="0" applyFont="1" applyBorder="1" applyAlignment="1">
      <alignment horizontal="center" wrapText="1"/>
    </xf>
    <xf numFmtId="0" fontId="37" fillId="12" borderId="2" xfId="1" applyFont="1" applyFill="1" applyBorder="1" applyAlignment="1">
      <alignment horizontal="center" vertical="center"/>
    </xf>
    <xf numFmtId="0" fontId="37" fillId="12" borderId="3" xfId="1" applyFont="1" applyFill="1" applyBorder="1" applyAlignment="1">
      <alignment horizontal="center" vertical="center"/>
    </xf>
    <xf numFmtId="0" fontId="40" fillId="12" borderId="4" xfId="1" applyFont="1" applyFill="1" applyBorder="1" applyAlignment="1">
      <alignment horizontal="center"/>
    </xf>
    <xf numFmtId="0" fontId="40" fillId="12" borderId="23" xfId="1" applyFont="1" applyFill="1" applyBorder="1" applyAlignment="1">
      <alignment horizontal="center"/>
    </xf>
    <xf numFmtId="0" fontId="34" fillId="0" borderId="4" xfId="1" applyFont="1" applyBorder="1" applyAlignment="1">
      <alignment horizontal="center" vertical="center"/>
    </xf>
    <xf numFmtId="0" fontId="34" fillId="0" borderId="24" xfId="1" applyFont="1" applyBorder="1" applyAlignment="1">
      <alignment horizontal="center" vertical="center"/>
    </xf>
    <xf numFmtId="0" fontId="34" fillId="0" borderId="23" xfId="1" applyFont="1" applyBorder="1" applyAlignment="1">
      <alignment horizontal="center" vertical="center"/>
    </xf>
    <xf numFmtId="0" fontId="22" fillId="4" borderId="6" xfId="0" applyFont="1" applyFill="1" applyBorder="1" applyAlignment="1" applyProtection="1">
      <alignment horizontal="center"/>
      <protection locked="0"/>
    </xf>
    <xf numFmtId="0" fontId="60" fillId="9" borderId="2" xfId="1" applyFont="1" applyFill="1" applyBorder="1" applyAlignment="1" applyProtection="1">
      <alignment horizontal="center" vertical="center"/>
      <protection locked="0"/>
    </xf>
    <xf numFmtId="0" fontId="60" fillId="9" borderId="13" xfId="1" applyFont="1" applyFill="1" applyBorder="1" applyAlignment="1" applyProtection="1">
      <alignment horizontal="center" vertical="center"/>
      <protection locked="0"/>
    </xf>
    <xf numFmtId="0" fontId="60" fillId="9" borderId="3" xfId="1" applyFont="1" applyFill="1" applyBorder="1" applyAlignment="1" applyProtection="1">
      <alignment horizontal="center" vertical="center"/>
      <protection locked="0"/>
    </xf>
    <xf numFmtId="0" fontId="22" fillId="14" borderId="20" xfId="1" applyFont="1" applyFill="1" applyBorder="1" applyAlignment="1" applyProtection="1">
      <alignment horizontal="center"/>
      <protection locked="0"/>
    </xf>
    <xf numFmtId="0" fontId="22" fillId="14" borderId="17" xfId="1" applyFont="1" applyFill="1" applyBorder="1" applyAlignment="1" applyProtection="1">
      <alignment horizontal="center"/>
      <protection locked="0"/>
    </xf>
    <xf numFmtId="0" fontId="22" fillId="14" borderId="19" xfId="1" applyFont="1" applyFill="1" applyBorder="1" applyAlignment="1" applyProtection="1">
      <alignment horizontal="center"/>
      <protection locked="0"/>
    </xf>
    <xf numFmtId="0" fontId="22" fillId="14" borderId="15" xfId="1" applyFont="1" applyFill="1" applyBorder="1" applyAlignment="1" applyProtection="1">
      <alignment horizontal="center"/>
      <protection locked="0"/>
    </xf>
    <xf numFmtId="20" fontId="22" fillId="4" borderId="17" xfId="1" applyNumberFormat="1" applyFont="1" applyFill="1" applyBorder="1" applyAlignment="1" applyProtection="1">
      <alignment horizontal="center"/>
      <protection locked="0"/>
    </xf>
    <xf numFmtId="20" fontId="22" fillId="4" borderId="22" xfId="1" applyNumberFormat="1" applyFont="1" applyFill="1" applyBorder="1" applyAlignment="1" applyProtection="1">
      <alignment horizontal="center"/>
      <protection locked="0"/>
    </xf>
    <xf numFmtId="20" fontId="22" fillId="4" borderId="19" xfId="1" applyNumberFormat="1" applyFont="1" applyFill="1" applyBorder="1" applyAlignment="1" applyProtection="1">
      <alignment horizontal="center"/>
      <protection locked="0"/>
    </xf>
    <xf numFmtId="0" fontId="33" fillId="0" borderId="24" xfId="1" applyFont="1" applyBorder="1" applyAlignment="1">
      <alignment horizontal="center"/>
    </xf>
    <xf numFmtId="0" fontId="33" fillId="0" borderId="23" xfId="1" applyFont="1" applyBorder="1" applyAlignment="1">
      <alignment horizontal="center"/>
    </xf>
    <xf numFmtId="0" fontId="22" fillId="17" borderId="17" xfId="1" applyFont="1" applyFill="1" applyBorder="1" applyAlignment="1" applyProtection="1">
      <alignment horizontal="center"/>
      <protection locked="0"/>
    </xf>
    <xf numFmtId="0" fontId="22" fillId="17" borderId="19" xfId="1" applyFont="1" applyFill="1" applyBorder="1" applyAlignment="1" applyProtection="1">
      <alignment horizontal="center"/>
      <protection locked="0"/>
    </xf>
    <xf numFmtId="0" fontId="22" fillId="17" borderId="15" xfId="1" applyFont="1" applyFill="1" applyBorder="1" applyAlignment="1" applyProtection="1">
      <alignment horizontal="center"/>
      <protection locked="0"/>
    </xf>
    <xf numFmtId="0" fontId="34" fillId="0" borderId="9" xfId="1" applyFont="1" applyBorder="1" applyAlignment="1">
      <alignment horizontal="center"/>
    </xf>
    <xf numFmtId="0" fontId="22" fillId="17" borderId="16" xfId="1" applyFont="1" applyFill="1" applyBorder="1" applyAlignment="1" applyProtection="1">
      <alignment horizontal="center"/>
      <protection locked="0"/>
    </xf>
    <xf numFmtId="0" fontId="22" fillId="17" borderId="0" xfId="1" applyFont="1" applyFill="1" applyAlignment="1" applyProtection="1">
      <alignment horizontal="center"/>
      <protection locked="0"/>
    </xf>
    <xf numFmtId="0" fontId="43" fillId="5" borderId="0" xfId="1" applyFont="1" applyFill="1" applyAlignment="1">
      <alignment horizontal="center" wrapText="1"/>
    </xf>
    <xf numFmtId="0" fontId="5" fillId="17" borderId="0" xfId="1" applyFont="1" applyFill="1" applyAlignment="1" applyProtection="1">
      <alignment horizontal="center" wrapText="1"/>
      <protection locked="0"/>
    </xf>
    <xf numFmtId="0" fontId="5" fillId="17" borderId="12" xfId="1" applyFont="1" applyFill="1" applyBorder="1" applyAlignment="1" applyProtection="1">
      <alignment horizontal="center" wrapText="1"/>
      <protection locked="0"/>
    </xf>
    <xf numFmtId="0" fontId="37" fillId="18" borderId="13" xfId="1" applyFont="1" applyFill="1" applyBorder="1" applyAlignment="1">
      <alignment horizontal="center" vertical="center"/>
    </xf>
    <xf numFmtId="0" fontId="37" fillId="18" borderId="3" xfId="1" applyFont="1" applyFill="1" applyBorder="1" applyAlignment="1">
      <alignment horizontal="center" vertical="center"/>
    </xf>
    <xf numFmtId="0" fontId="22" fillId="4" borderId="26" xfId="0" applyFont="1" applyFill="1" applyBorder="1" applyAlignment="1" applyProtection="1">
      <alignment horizontal="center"/>
      <protection locked="0"/>
    </xf>
    <xf numFmtId="0" fontId="22" fillId="4" borderId="16" xfId="0" applyFont="1" applyFill="1" applyBorder="1" applyAlignment="1" applyProtection="1">
      <alignment horizontal="center"/>
      <protection locked="0"/>
    </xf>
    <xf numFmtId="20" fontId="22" fillId="4" borderId="27" xfId="1" applyNumberFormat="1" applyFont="1" applyFill="1" applyBorder="1" applyAlignment="1" applyProtection="1">
      <alignment horizontal="center"/>
      <protection locked="0"/>
    </xf>
    <xf numFmtId="20" fontId="22" fillId="4" borderId="28" xfId="1" applyNumberFormat="1" applyFont="1" applyFill="1" applyBorder="1" applyAlignment="1" applyProtection="1">
      <alignment horizontal="center"/>
      <protection locked="0"/>
    </xf>
    <xf numFmtId="0" fontId="54" fillId="20" borderId="5" xfId="1" applyFont="1" applyFill="1" applyBorder="1" applyAlignment="1">
      <alignment horizontal="center" vertical="center"/>
    </xf>
    <xf numFmtId="0" fontId="54" fillId="20" borderId="6" xfId="1" applyFont="1" applyFill="1" applyBorder="1" applyAlignment="1">
      <alignment horizontal="center" vertical="center"/>
    </xf>
    <xf numFmtId="0" fontId="54" fillId="20" borderId="7" xfId="1" applyFont="1" applyFill="1" applyBorder="1" applyAlignment="1">
      <alignment horizontal="center" vertical="center"/>
    </xf>
    <xf numFmtId="0" fontId="59" fillId="20" borderId="0" xfId="1" applyFont="1" applyFill="1" applyAlignment="1">
      <alignment horizontal="left"/>
    </xf>
    <xf numFmtId="0" fontId="37" fillId="16" borderId="0" xfId="0" applyFont="1" applyFill="1" applyAlignment="1">
      <alignment horizontal="center" wrapText="1"/>
    </xf>
    <xf numFmtId="0" fontId="37" fillId="16" borderId="9" xfId="0" applyFont="1" applyFill="1" applyBorder="1" applyAlignment="1">
      <alignment horizontal="center" wrapText="1"/>
    </xf>
    <xf numFmtId="0" fontId="36" fillId="15" borderId="12" xfId="0" applyFont="1" applyFill="1" applyBorder="1" applyAlignment="1">
      <alignment horizontal="center" wrapText="1"/>
    </xf>
    <xf numFmtId="0" fontId="36" fillId="15" borderId="10" xfId="0" applyFont="1" applyFill="1" applyBorder="1" applyAlignment="1">
      <alignment horizontal="center" wrapText="1"/>
    </xf>
    <xf numFmtId="0" fontId="8" fillId="0" borderId="0" xfId="0" applyFont="1" applyAlignment="1" applyProtection="1">
      <alignment horizontal="center"/>
      <protection locked="0"/>
    </xf>
    <xf numFmtId="0" fontId="8" fillId="0" borderId="0" xfId="0" applyFont="1" applyAlignment="1">
      <alignment horizontal="center"/>
    </xf>
  </cellXfs>
  <cellStyles count="4">
    <cellStyle name="Normal" xfId="0" builtinId="0"/>
    <cellStyle name="Normal 2" xfId="1" xr:uid="{00000000-0005-0000-0000-000001000000}"/>
    <cellStyle name="Normal 2 2" xfId="3" xr:uid="{00000000-0005-0000-0000-000002000000}"/>
    <cellStyle name="Normal 3" xfId="2" xr:uid="{00000000-0005-0000-0000-000003000000}"/>
  </cellStyles>
  <dxfs count="675">
    <dxf>
      <font>
        <b/>
        <i/>
      </font>
      <fill>
        <patternFill>
          <bgColor rgb="FFFFC000"/>
        </patternFill>
      </fill>
    </dxf>
    <dxf>
      <font>
        <b/>
        <i/>
        <color auto="1"/>
      </font>
      <fill>
        <patternFill>
          <bgColor theme="0" tint="-0.14996795556505021"/>
        </patternFill>
      </fill>
    </dxf>
    <dxf>
      <font>
        <b/>
        <i/>
        <color auto="1"/>
      </font>
      <fill>
        <patternFill>
          <bgColor rgb="FF00B0F0"/>
        </patternFill>
      </fill>
    </dxf>
    <dxf>
      <font>
        <b/>
        <i/>
      </font>
      <fill>
        <patternFill>
          <bgColor rgb="FF92D050"/>
        </patternFill>
      </fill>
    </dxf>
    <dxf>
      <font>
        <b/>
        <i/>
      </font>
      <fill>
        <patternFill>
          <bgColor rgb="FF92D050"/>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font>
      <fill>
        <patternFill>
          <bgColor rgb="FF92D050"/>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color auto="1"/>
      </font>
      <fill>
        <patternFill>
          <bgColor theme="0" tint="-0.14996795556505021"/>
        </patternFill>
      </fill>
    </dxf>
    <dxf>
      <font>
        <b/>
        <i/>
      </font>
      <fill>
        <patternFill>
          <bgColor rgb="FFFFC000"/>
        </patternFill>
      </fill>
    </dxf>
    <dxf>
      <font>
        <b/>
        <i/>
      </font>
      <fill>
        <patternFill>
          <bgColor rgb="FF92D050"/>
        </patternFill>
      </fill>
    </dxf>
    <dxf>
      <font>
        <b/>
        <i/>
        <color auto="1"/>
      </font>
      <fill>
        <patternFill>
          <bgColor rgb="FF00B0F0"/>
        </patternFill>
      </fill>
    </dxf>
    <dxf>
      <font>
        <b/>
        <i/>
        <color auto="1"/>
      </font>
      <fill>
        <patternFill>
          <bgColor rgb="FF00B0F0"/>
        </patternFill>
      </fill>
    </dxf>
    <dxf>
      <font>
        <b/>
        <i/>
        <color auto="1"/>
      </font>
      <fill>
        <patternFill>
          <bgColor theme="0" tint="-0.14996795556505021"/>
        </patternFill>
      </fill>
    </dxf>
    <dxf>
      <font>
        <b/>
        <i/>
      </font>
      <fill>
        <patternFill>
          <bgColor rgb="FFFFC000"/>
        </patternFill>
      </fill>
    </dxf>
    <dxf>
      <font>
        <b/>
        <i/>
      </font>
      <fill>
        <patternFill>
          <bgColor rgb="FF92D050"/>
        </patternFill>
      </fill>
    </dxf>
    <dxf>
      <font>
        <b/>
        <i/>
      </font>
      <fill>
        <patternFill>
          <bgColor rgb="FF92D050"/>
        </patternFill>
      </fill>
    </dxf>
    <dxf>
      <font>
        <b/>
        <i/>
        <color auto="1"/>
      </font>
      <fill>
        <patternFill>
          <bgColor theme="0" tint="-0.14996795556505021"/>
        </patternFill>
      </fill>
    </dxf>
    <dxf>
      <font>
        <b/>
        <i/>
      </font>
      <fill>
        <patternFill>
          <bgColor rgb="FFFFC000"/>
        </patternFill>
      </fill>
    </dxf>
    <dxf>
      <font>
        <b/>
        <i/>
        <color auto="1"/>
      </font>
      <fill>
        <patternFill>
          <bgColor rgb="FF00B0F0"/>
        </patternFill>
      </fill>
    </dxf>
    <dxf>
      <font>
        <b/>
        <i/>
      </font>
      <fill>
        <patternFill>
          <bgColor rgb="FF92D050"/>
        </patternFill>
      </fill>
    </dxf>
    <dxf>
      <font>
        <b/>
        <i/>
      </font>
      <fill>
        <patternFill>
          <bgColor rgb="FFFFC000"/>
        </patternFill>
      </fill>
    </dxf>
    <dxf>
      <font>
        <b/>
        <i/>
        <color auto="1"/>
      </font>
      <fill>
        <patternFill>
          <bgColor theme="0" tint="-0.14996795556505021"/>
        </patternFill>
      </fill>
    </dxf>
    <dxf>
      <font>
        <b/>
        <i/>
        <color auto="1"/>
      </font>
      <fill>
        <patternFill>
          <bgColor rgb="FF00B0F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color auto="1"/>
      </font>
      <fill>
        <patternFill>
          <bgColor rgb="FF00B0F0"/>
        </patternFill>
      </fill>
    </dxf>
    <dxf>
      <font>
        <b/>
        <i/>
      </font>
      <fill>
        <patternFill>
          <bgColor rgb="FFFFC00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font>
      <fill>
        <patternFill>
          <bgColor rgb="FFFFC000"/>
        </patternFill>
      </fill>
    </dxf>
    <dxf>
      <font>
        <b/>
        <i/>
        <color auto="1"/>
      </font>
      <fill>
        <patternFill>
          <bgColor theme="0" tint="-0.14996795556505021"/>
        </patternFill>
      </fill>
    </dxf>
    <dxf>
      <font>
        <b/>
        <i/>
      </font>
      <fill>
        <patternFill>
          <bgColor rgb="FF92D05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font>
      <fill>
        <patternFill>
          <bgColor rgb="FFFFC000"/>
        </patternFill>
      </fill>
    </dxf>
    <dxf>
      <font>
        <b/>
        <i/>
        <color auto="1"/>
      </font>
      <fill>
        <patternFill>
          <bgColor rgb="FF00B0F0"/>
        </patternFill>
      </fill>
    </dxf>
    <dxf>
      <font>
        <b/>
        <i/>
      </font>
      <fill>
        <patternFill>
          <bgColor rgb="FF92D05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font>
      <fill>
        <patternFill>
          <bgColor rgb="FF92D050"/>
        </patternFill>
      </fill>
    </dxf>
    <dxf>
      <font>
        <b/>
        <i/>
        <color auto="1"/>
      </font>
      <fill>
        <patternFill>
          <bgColor theme="0" tint="-0.14996795556505021"/>
        </patternFill>
      </fill>
    </dxf>
    <dxf>
      <font>
        <b/>
        <i/>
      </font>
      <fill>
        <patternFill>
          <bgColor rgb="FF92D050"/>
        </patternFill>
      </fill>
    </dxf>
    <dxf>
      <font>
        <b/>
        <i/>
        <color auto="1"/>
      </font>
      <fill>
        <patternFill>
          <bgColor rgb="FF00B0F0"/>
        </patternFill>
      </fill>
    </dxf>
    <dxf>
      <font>
        <b/>
        <i/>
      </font>
      <fill>
        <patternFill>
          <bgColor rgb="FFFFC00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font>
      <fill>
        <patternFill>
          <bgColor rgb="FFFFC000"/>
        </patternFill>
      </fill>
    </dxf>
    <dxf>
      <font>
        <b/>
        <i/>
        <color auto="1"/>
      </font>
      <fill>
        <patternFill>
          <bgColor theme="0" tint="-0.14996795556505021"/>
        </patternFill>
      </fill>
    </dxf>
    <dxf>
      <font>
        <b/>
        <i/>
      </font>
      <fill>
        <patternFill>
          <bgColor rgb="FF92D050"/>
        </patternFill>
      </fill>
    </dxf>
    <dxf>
      <font>
        <b/>
        <i/>
        <color auto="1"/>
      </font>
      <fill>
        <patternFill>
          <bgColor rgb="FF00B0F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font>
      <fill>
        <patternFill>
          <bgColor rgb="FF92D05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92D050"/>
        </patternFill>
      </fill>
    </dxf>
    <dxf>
      <font>
        <b/>
        <i/>
        <color auto="1"/>
      </font>
      <fill>
        <patternFill>
          <bgColor theme="0" tint="-0.14996795556505021"/>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font>
      <fill>
        <patternFill>
          <bgColor rgb="FF92D050"/>
        </patternFill>
      </fill>
    </dxf>
    <dxf>
      <font>
        <b/>
        <i/>
      </font>
      <fill>
        <patternFill>
          <bgColor rgb="FFFFC000"/>
        </patternFill>
      </fill>
    </dxf>
    <dxf>
      <font>
        <b/>
        <i/>
        <color auto="1"/>
      </font>
      <fill>
        <patternFill>
          <bgColor theme="0" tint="-0.14996795556505021"/>
        </patternFill>
      </fill>
    </dxf>
    <dxf>
      <font>
        <b/>
        <i/>
        <color auto="1"/>
      </font>
      <fill>
        <patternFill>
          <bgColor rgb="FF00B0F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font>
      <fill>
        <patternFill>
          <bgColor rgb="FFFFC000"/>
        </patternFill>
      </fill>
    </dxf>
    <dxf>
      <font>
        <b/>
        <i/>
        <color auto="1"/>
      </font>
      <fill>
        <patternFill>
          <bgColor rgb="FF00B0F0"/>
        </patternFill>
      </fill>
    </dxf>
    <dxf>
      <font>
        <b/>
        <i/>
      </font>
      <fill>
        <patternFill>
          <bgColor rgb="FF92D050"/>
        </patternFill>
      </fill>
    </dxf>
    <dxf>
      <font>
        <b/>
        <i/>
        <color auto="1"/>
      </font>
      <fill>
        <patternFill>
          <bgColor theme="0" tint="-0.14996795556505021"/>
        </patternFill>
      </fill>
    </dxf>
    <dxf>
      <font>
        <b/>
        <i/>
        <color auto="1"/>
      </font>
      <fill>
        <patternFill>
          <bgColor theme="0" tint="-0.14996795556505021"/>
        </patternFill>
      </fill>
    </dxf>
    <dxf>
      <font>
        <b/>
        <i/>
      </font>
      <fill>
        <patternFill>
          <bgColor rgb="FFFFC000"/>
        </patternFill>
      </fill>
    </dxf>
    <dxf>
      <font>
        <b/>
        <i/>
      </font>
      <fill>
        <patternFill>
          <bgColor rgb="FF92D050"/>
        </patternFill>
      </fill>
    </dxf>
    <dxf>
      <font>
        <b/>
        <i/>
        <color auto="1"/>
      </font>
      <fill>
        <patternFill>
          <bgColor rgb="FF00B0F0"/>
        </patternFill>
      </fill>
    </dxf>
    <dxf>
      <font>
        <b/>
        <i/>
        <color auto="1"/>
      </font>
      <fill>
        <patternFill>
          <bgColor theme="0" tint="-0.14996795556505021"/>
        </patternFill>
      </fill>
    </dxf>
    <dxf>
      <font>
        <b/>
        <i/>
      </font>
      <fill>
        <patternFill>
          <bgColor rgb="FFFFC000"/>
        </patternFill>
      </fill>
    </dxf>
    <dxf>
      <font>
        <b/>
        <i/>
      </font>
      <fill>
        <patternFill>
          <bgColor rgb="FF92D050"/>
        </patternFill>
      </fill>
    </dxf>
    <dxf>
      <font>
        <b/>
        <i/>
        <color auto="1"/>
      </font>
      <fill>
        <patternFill>
          <bgColor rgb="FF00B0F0"/>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color auto="1"/>
      </font>
      <fill>
        <patternFill>
          <bgColor rgb="FF00B0F0"/>
        </patternFill>
      </fill>
    </dxf>
    <dxf>
      <font>
        <b/>
        <i/>
      </font>
      <fill>
        <patternFill>
          <bgColor rgb="FF92D050"/>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theme="0" tint="-0.14996795556505021"/>
        </patternFill>
      </fill>
    </dxf>
    <dxf>
      <font>
        <b/>
        <i/>
        <color auto="1"/>
      </font>
      <fill>
        <patternFill>
          <bgColor rgb="FF00B0F0"/>
        </patternFill>
      </fill>
    </dxf>
    <dxf>
      <font>
        <b/>
        <i/>
      </font>
      <fill>
        <patternFill>
          <bgColor rgb="FF92D05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theme="0" tint="-0.14996795556505021"/>
        </patternFill>
      </fill>
    </dxf>
    <dxf>
      <font>
        <b/>
        <i/>
        <color auto="1"/>
      </font>
      <fill>
        <patternFill>
          <bgColor rgb="FF00B0F0"/>
        </patternFill>
      </fill>
    </dxf>
    <dxf>
      <font>
        <b/>
        <i/>
      </font>
      <fill>
        <patternFill>
          <bgColor rgb="FF92D050"/>
        </patternFill>
      </fill>
    </dxf>
    <dxf>
      <font>
        <b/>
        <i/>
      </font>
      <fill>
        <patternFill>
          <bgColor rgb="FFFFC000"/>
        </patternFill>
      </fill>
    </dxf>
    <dxf>
      <font>
        <b/>
        <i/>
        <color auto="1"/>
      </font>
      <fill>
        <patternFill>
          <bgColor theme="0" tint="-0.14996795556505021"/>
        </patternFill>
      </fill>
    </dxf>
    <dxf>
      <font>
        <b/>
        <i/>
      </font>
      <fill>
        <patternFill>
          <bgColor rgb="FFFFC000"/>
        </patternFill>
      </fill>
    </dxf>
    <dxf>
      <font>
        <b/>
        <i/>
        <color auto="1"/>
      </font>
      <fill>
        <patternFill>
          <bgColor rgb="FF00B0F0"/>
        </patternFill>
      </fill>
    </dxf>
    <dxf>
      <font>
        <b/>
        <i/>
      </font>
      <fill>
        <patternFill>
          <bgColor rgb="FF92D050"/>
        </patternFill>
      </fill>
    </dxf>
    <dxf>
      <font>
        <b/>
        <i/>
      </font>
      <fill>
        <patternFill>
          <bgColor rgb="FFFFC000"/>
        </patternFill>
      </fill>
    </dxf>
    <dxf>
      <font>
        <b/>
        <i/>
        <color auto="1"/>
      </font>
      <fill>
        <patternFill>
          <bgColor theme="0" tint="-0.14996795556505021"/>
        </patternFill>
      </fill>
    </dxf>
    <dxf>
      <font>
        <b/>
        <i/>
        <color auto="1"/>
      </font>
      <fill>
        <patternFill>
          <bgColor rgb="FF00B0F0"/>
        </patternFill>
      </fill>
    </dxf>
    <dxf>
      <font>
        <b/>
        <i/>
      </font>
      <fill>
        <patternFill>
          <bgColor rgb="FF92D05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color auto="1"/>
      </font>
      <fill>
        <patternFill>
          <bgColor theme="0" tint="-0.14996795556505021"/>
        </patternFill>
      </fill>
    </dxf>
    <dxf>
      <font>
        <b/>
        <i/>
      </font>
      <fill>
        <patternFill>
          <bgColor rgb="FFFFC000"/>
        </patternFill>
      </fill>
    </dxf>
    <dxf>
      <font>
        <b/>
        <i/>
        <color auto="1"/>
      </font>
      <fill>
        <patternFill>
          <bgColor rgb="FF00B0F0"/>
        </patternFill>
      </fill>
    </dxf>
    <dxf>
      <font>
        <b/>
        <i/>
      </font>
      <fill>
        <patternFill>
          <bgColor rgb="FF92D050"/>
        </patternFill>
      </fill>
    </dxf>
    <dxf>
      <font>
        <b/>
        <i/>
      </font>
      <fill>
        <patternFill>
          <bgColor rgb="FF92D050"/>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font>
      <fill>
        <patternFill>
          <bgColor rgb="FF92D050"/>
        </patternFill>
      </fill>
    </dxf>
    <dxf>
      <font>
        <b/>
        <i/>
        <color auto="1"/>
      </font>
      <fill>
        <patternFill>
          <bgColor rgb="FF00B0F0"/>
        </patternFill>
      </fill>
    </dxf>
    <dxf>
      <font>
        <b/>
        <i/>
        <color auto="1"/>
      </font>
      <fill>
        <patternFill>
          <bgColor theme="0" tint="-0.14996795556505021"/>
        </patternFill>
      </fill>
    </dxf>
    <dxf>
      <font>
        <b/>
        <i/>
      </font>
      <fill>
        <patternFill>
          <bgColor rgb="FFFFC000"/>
        </patternFill>
      </fill>
    </dxf>
    <dxf>
      <font>
        <b/>
        <i/>
      </font>
      <fill>
        <patternFill>
          <bgColor rgb="FFFFC000"/>
        </patternFill>
      </fill>
    </dxf>
    <dxf>
      <font>
        <b/>
        <i/>
        <color auto="1"/>
      </font>
      <fill>
        <patternFill>
          <bgColor theme="0" tint="-0.14996795556505021"/>
        </patternFill>
      </fill>
    </dxf>
    <dxf>
      <font>
        <b/>
        <i/>
      </font>
      <fill>
        <patternFill>
          <bgColor rgb="FF92D050"/>
        </patternFill>
      </fill>
    </dxf>
    <dxf>
      <font>
        <b/>
        <i/>
        <color auto="1"/>
      </font>
      <fill>
        <patternFill>
          <bgColor rgb="FF00B0F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font>
      <fill>
        <patternFill>
          <bgColor rgb="FF92D050"/>
        </patternFill>
      </fill>
    </dxf>
    <dxf>
      <font>
        <b/>
        <i/>
        <color auto="1"/>
      </font>
      <fill>
        <patternFill>
          <bgColor theme="0" tint="-0.14996795556505021"/>
        </patternFill>
      </fill>
    </dxf>
    <dxf>
      <font>
        <b/>
        <i/>
      </font>
      <fill>
        <patternFill>
          <bgColor rgb="FFFFC000"/>
        </patternFill>
      </fill>
    </dxf>
    <dxf>
      <font>
        <b/>
        <i/>
        <color auto="1"/>
      </font>
      <fill>
        <patternFill>
          <bgColor rgb="FF00B0F0"/>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font>
      <fill>
        <patternFill>
          <bgColor rgb="FF92D050"/>
        </patternFill>
      </fill>
    </dxf>
    <dxf>
      <font>
        <b/>
        <i/>
        <color auto="1"/>
      </font>
      <fill>
        <patternFill>
          <bgColor theme="0" tint="-0.14996795556505021"/>
        </patternFill>
      </fill>
    </dxf>
    <dxf>
      <font>
        <b/>
        <i/>
      </font>
      <fill>
        <patternFill>
          <bgColor rgb="FFFFC000"/>
        </patternFill>
      </fill>
    </dxf>
    <dxf>
      <font>
        <b/>
        <i/>
      </font>
      <fill>
        <patternFill>
          <bgColor rgb="FF92D050"/>
        </patternFill>
      </fill>
    </dxf>
    <dxf>
      <font>
        <b/>
        <i/>
        <color auto="1"/>
      </font>
      <fill>
        <patternFill>
          <bgColor rgb="FF00B0F0"/>
        </patternFill>
      </fill>
    </dxf>
    <dxf>
      <font>
        <b/>
        <i/>
        <color auto="1"/>
      </font>
      <fill>
        <patternFill>
          <bgColor theme="0" tint="-0.14996795556505021"/>
        </patternFill>
      </fill>
    </dxf>
    <dxf>
      <font>
        <b/>
        <i/>
      </font>
      <fill>
        <patternFill>
          <bgColor rgb="FFFFC000"/>
        </patternFill>
      </fill>
    </dxf>
    <dxf>
      <font>
        <b/>
        <i/>
        <color auto="1"/>
      </font>
      <fill>
        <patternFill>
          <bgColor rgb="FF00B0F0"/>
        </patternFill>
      </fill>
    </dxf>
    <dxf>
      <font>
        <b/>
        <i/>
      </font>
      <fill>
        <patternFill>
          <bgColor rgb="FF92D05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font>
      <fill>
        <patternFill>
          <bgColor rgb="FFFFC000"/>
        </patternFill>
      </fill>
    </dxf>
    <dxf>
      <font>
        <b/>
        <i/>
        <color auto="1"/>
      </font>
      <fill>
        <patternFill>
          <bgColor rgb="FF00B0F0"/>
        </patternFill>
      </fill>
    </dxf>
    <dxf>
      <font>
        <b/>
        <i/>
      </font>
      <fill>
        <patternFill>
          <bgColor rgb="FF92D050"/>
        </patternFill>
      </fill>
    </dxf>
    <dxf>
      <font>
        <b/>
        <i/>
        <color auto="1"/>
      </font>
      <fill>
        <patternFill>
          <bgColor theme="0" tint="-0.14996795556505021"/>
        </patternFill>
      </fill>
    </dxf>
    <dxf>
      <font>
        <b/>
        <i/>
        <color auto="1"/>
      </font>
      <fill>
        <patternFill>
          <bgColor theme="0" tint="-0.14996795556505021"/>
        </patternFill>
      </fill>
    </dxf>
    <dxf>
      <font>
        <b/>
        <i/>
      </font>
      <fill>
        <patternFill>
          <bgColor rgb="FF92D050"/>
        </patternFill>
      </fill>
    </dxf>
    <dxf>
      <font>
        <b/>
        <i/>
        <color auto="1"/>
      </font>
      <fill>
        <patternFill>
          <bgColor rgb="FF00B0F0"/>
        </patternFill>
      </fill>
    </dxf>
    <dxf>
      <font>
        <b/>
        <i/>
      </font>
      <fill>
        <patternFill>
          <bgColor rgb="FFFFC000"/>
        </patternFill>
      </fill>
    </dxf>
    <dxf>
      <font>
        <b/>
        <i/>
      </font>
      <fill>
        <patternFill>
          <bgColor rgb="FF92D050"/>
        </patternFill>
      </fill>
    </dxf>
    <dxf>
      <font>
        <b/>
        <i/>
      </font>
      <fill>
        <patternFill>
          <bgColor rgb="FFFFC000"/>
        </patternFill>
      </fill>
    </dxf>
    <dxf>
      <font>
        <b/>
        <i/>
        <color auto="1"/>
      </font>
      <fill>
        <patternFill>
          <bgColor theme="0" tint="-0.14996795556505021"/>
        </patternFill>
      </fill>
    </dxf>
    <dxf>
      <font>
        <b/>
        <i/>
        <color auto="1"/>
      </font>
      <fill>
        <patternFill>
          <bgColor rgb="FF00B0F0"/>
        </patternFill>
      </fill>
    </dxf>
    <dxf>
      <font>
        <b/>
        <i/>
      </font>
      <fill>
        <patternFill>
          <bgColor rgb="FF92D050"/>
        </patternFill>
      </fill>
    </dxf>
    <dxf>
      <font>
        <b/>
        <i/>
        <color auto="1"/>
      </font>
      <fill>
        <patternFill>
          <bgColor theme="0" tint="-0.14996795556505021"/>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font>
      <fill>
        <patternFill>
          <bgColor rgb="FF92D050"/>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font>
      <fill>
        <patternFill>
          <bgColor rgb="FF92D050"/>
        </patternFill>
      </fill>
    </dxf>
    <dxf>
      <font>
        <b/>
        <i/>
        <color auto="1"/>
      </font>
      <fill>
        <patternFill>
          <bgColor rgb="FF00B0F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color auto="1"/>
      </font>
      <fill>
        <patternFill>
          <bgColor rgb="FF00B0F0"/>
        </patternFill>
      </fill>
    </dxf>
    <dxf>
      <font>
        <b/>
        <i/>
      </font>
      <fill>
        <patternFill>
          <bgColor rgb="FFFFC000"/>
        </patternFill>
      </fill>
    </dxf>
    <dxf>
      <font>
        <b/>
        <i/>
      </font>
      <fill>
        <patternFill>
          <bgColor rgb="FFFFC000"/>
        </patternFill>
      </fill>
    </dxf>
    <dxf>
      <font>
        <b/>
        <i/>
        <color auto="1"/>
      </font>
      <fill>
        <patternFill>
          <bgColor rgb="FF00B0F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font>
      <fill>
        <patternFill>
          <bgColor rgb="FFFFC000"/>
        </patternFill>
      </fill>
    </dxf>
    <dxf>
      <font>
        <b/>
        <i/>
        <color auto="1"/>
      </font>
      <fill>
        <patternFill>
          <bgColor rgb="FF00B0F0"/>
        </patternFill>
      </fill>
    </dxf>
    <dxf>
      <font>
        <b/>
        <i/>
      </font>
      <fill>
        <patternFill>
          <bgColor rgb="FF92D050"/>
        </patternFill>
      </fill>
    </dxf>
    <dxf>
      <font>
        <b/>
        <i/>
        <color auto="1"/>
      </font>
      <fill>
        <patternFill>
          <bgColor theme="0" tint="-0.14996795556505021"/>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92D050"/>
        </patternFill>
      </fill>
    </dxf>
    <dxf>
      <font>
        <b/>
        <i/>
      </font>
      <fill>
        <patternFill>
          <bgColor rgb="FFFFC000"/>
        </patternFill>
      </fill>
    </dxf>
    <dxf>
      <font>
        <b/>
        <i/>
        <color auto="1"/>
      </font>
      <fill>
        <patternFill>
          <bgColor theme="0" tint="-0.14996795556505021"/>
        </patternFill>
      </fill>
    </dxf>
    <dxf>
      <font>
        <b/>
        <i/>
        <color auto="1"/>
      </font>
      <fill>
        <patternFill>
          <bgColor rgb="FF00B0F0"/>
        </patternFill>
      </fill>
    </dxf>
    <dxf>
      <font>
        <b/>
        <i/>
      </font>
      <fill>
        <patternFill>
          <bgColor rgb="FF92D050"/>
        </patternFill>
      </fill>
    </dxf>
    <dxf>
      <font>
        <b/>
        <i/>
        <color auto="1"/>
      </font>
      <fill>
        <patternFill>
          <bgColor theme="0" tint="-0.14996795556505021"/>
        </patternFill>
      </fill>
    </dxf>
    <dxf>
      <font>
        <b/>
        <i/>
      </font>
      <fill>
        <patternFill>
          <bgColor rgb="FFFFC000"/>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color auto="1"/>
      </font>
      <fill>
        <patternFill>
          <bgColor rgb="FF00B0F0"/>
        </patternFill>
      </fill>
    </dxf>
    <dxf>
      <font>
        <b/>
        <i/>
      </font>
      <fill>
        <patternFill>
          <bgColor rgb="FF92D050"/>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font>
      <fill>
        <patternFill>
          <bgColor rgb="FF92D050"/>
        </patternFill>
      </fill>
    </dxf>
    <dxf>
      <font>
        <b/>
        <i/>
        <color auto="1"/>
      </font>
      <fill>
        <patternFill>
          <bgColor theme="0" tint="-0.14996795556505021"/>
        </patternFill>
      </fill>
    </dxf>
    <dxf>
      <font>
        <b/>
        <i/>
      </font>
      <fill>
        <patternFill>
          <bgColor rgb="FFFFC000"/>
        </patternFill>
      </fill>
    </dxf>
    <dxf>
      <font>
        <b/>
        <i/>
        <color auto="1"/>
      </font>
      <fill>
        <patternFill>
          <bgColor rgb="FF00B0F0"/>
        </patternFill>
      </fill>
    </dxf>
    <dxf>
      <font>
        <b/>
        <i/>
      </font>
      <fill>
        <patternFill>
          <bgColor rgb="FF92D05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color auto="1"/>
      </font>
      <fill>
        <patternFill>
          <bgColor theme="0" tint="-0.14996795556505021"/>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color auto="1"/>
      </font>
      <fill>
        <patternFill>
          <bgColor rgb="FF00B0F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font>
      <fill>
        <patternFill>
          <bgColor rgb="FF92D050"/>
        </patternFill>
      </fill>
    </dxf>
    <dxf>
      <font>
        <b/>
        <i/>
        <color auto="1"/>
      </font>
      <fill>
        <patternFill>
          <bgColor rgb="FF00B0F0"/>
        </patternFill>
      </fill>
    </dxf>
    <dxf>
      <font>
        <b/>
        <i/>
      </font>
      <fill>
        <patternFill>
          <bgColor rgb="FFFFC00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theme="0" tint="-0.14996795556505021"/>
        </patternFill>
      </fill>
    </dxf>
    <dxf>
      <font>
        <b/>
        <i/>
      </font>
      <fill>
        <patternFill>
          <bgColor rgb="FFFFC000"/>
        </patternFill>
      </fill>
    </dxf>
    <dxf>
      <font>
        <b/>
        <i/>
      </font>
      <fill>
        <patternFill>
          <bgColor rgb="FF92D050"/>
        </patternFill>
      </fill>
    </dxf>
    <dxf>
      <font>
        <b/>
        <i/>
        <color auto="1"/>
      </font>
      <fill>
        <patternFill>
          <bgColor rgb="FF00B0F0"/>
        </patternFill>
      </fill>
    </dxf>
    <dxf>
      <font>
        <b/>
        <i/>
        <color auto="1"/>
      </font>
      <fill>
        <patternFill>
          <bgColor theme="0" tint="-0.14996795556505021"/>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rgb="FF00B0F0"/>
        </patternFill>
      </fill>
    </dxf>
    <dxf>
      <font>
        <b/>
        <i/>
      </font>
      <fill>
        <patternFill>
          <bgColor rgb="FFFFC000"/>
        </patternFill>
      </fill>
    </dxf>
    <dxf>
      <font>
        <b/>
        <i/>
      </font>
      <fill>
        <patternFill>
          <bgColor rgb="FF92D050"/>
        </patternFill>
      </fill>
    </dxf>
    <dxf>
      <font>
        <b/>
        <i/>
        <color auto="1"/>
      </font>
      <fill>
        <patternFill>
          <bgColor theme="0" tint="-0.14996795556505021"/>
        </patternFill>
      </fill>
    </dxf>
    <dxf>
      <font>
        <b/>
        <i/>
        <color auto="1"/>
      </font>
      <fill>
        <patternFill>
          <bgColor rgb="FF00B0F0"/>
        </patternFill>
      </fill>
    </dxf>
    <dxf>
      <font>
        <b/>
        <i/>
        <color auto="1"/>
      </font>
      <fill>
        <patternFill>
          <bgColor theme="0" tint="-0.14996795556505021"/>
        </patternFill>
      </fill>
    </dxf>
    <dxf>
      <font>
        <b/>
        <i/>
      </font>
      <fill>
        <patternFill>
          <bgColor rgb="FF92D050"/>
        </patternFill>
      </fill>
    </dxf>
    <dxf>
      <font>
        <b/>
        <i/>
      </font>
      <fill>
        <patternFill>
          <bgColor rgb="FFFFC000"/>
        </patternFill>
      </fill>
    </dxf>
    <dxf>
      <font>
        <b/>
        <i/>
      </font>
      <fill>
        <patternFill>
          <bgColor rgb="FFFFC000"/>
        </patternFill>
      </fill>
    </dxf>
    <dxf>
      <font>
        <b/>
        <i/>
      </font>
      <fill>
        <patternFill>
          <bgColor rgb="FF92D050"/>
        </patternFill>
      </fill>
    </dxf>
    <dxf>
      <font>
        <b/>
        <i/>
        <color auto="1"/>
      </font>
      <fill>
        <patternFill>
          <bgColor rgb="FF00B0F0"/>
        </patternFill>
      </fill>
    </dxf>
    <dxf>
      <font>
        <b/>
        <i/>
        <color auto="1"/>
      </font>
      <fill>
        <patternFill>
          <bgColor theme="0" tint="-0.14996795556505021"/>
        </patternFill>
      </fill>
    </dxf>
    <dxf>
      <font>
        <b/>
        <i/>
        <color theme="0"/>
      </font>
      <fill>
        <patternFill>
          <bgColor rgb="FFFF9900"/>
        </patternFill>
      </fill>
    </dxf>
    <dxf>
      <font>
        <color theme="0"/>
      </font>
      <fill>
        <patternFill>
          <bgColor rgb="FFCC00CC"/>
        </patternFill>
      </fill>
    </dxf>
    <dxf>
      <font>
        <color theme="0"/>
      </font>
      <fill>
        <patternFill patternType="solid">
          <fgColor auto="1"/>
          <bgColor rgb="FF6600FF"/>
        </patternFill>
      </fill>
    </dxf>
    <dxf>
      <font>
        <color theme="0"/>
      </font>
      <fill>
        <patternFill patternType="solid">
          <fgColor auto="1"/>
          <bgColor rgb="FF6600FF"/>
        </patternFill>
      </fill>
    </dxf>
    <dxf>
      <font>
        <color theme="0"/>
      </font>
      <fill>
        <patternFill>
          <bgColor rgb="FFCC00CC"/>
        </patternFill>
      </fill>
    </dxf>
    <dxf>
      <font>
        <b/>
        <i/>
        <color theme="0"/>
      </font>
      <fill>
        <patternFill>
          <bgColor rgb="FFFF9900"/>
        </patternFill>
      </fill>
    </dxf>
    <dxf>
      <font>
        <color theme="0"/>
      </font>
      <fill>
        <patternFill patternType="solid">
          <fgColor auto="1"/>
          <bgColor rgb="FF6600FF"/>
        </patternFill>
      </fill>
    </dxf>
    <dxf>
      <font>
        <color theme="0"/>
      </font>
      <fill>
        <patternFill>
          <bgColor rgb="FFCC00CC"/>
        </patternFill>
      </fill>
    </dxf>
    <dxf>
      <font>
        <b/>
        <i/>
        <color theme="0"/>
      </font>
      <fill>
        <patternFill>
          <bgColor rgb="FFFF9900"/>
        </patternFill>
      </fill>
    </dxf>
    <dxf>
      <font>
        <color theme="0"/>
      </font>
      <fill>
        <patternFill patternType="solid">
          <fgColor auto="1"/>
          <bgColor rgb="FF6600FF"/>
        </patternFill>
      </fill>
    </dxf>
    <dxf>
      <font>
        <color theme="0"/>
      </font>
      <fill>
        <patternFill>
          <bgColor rgb="FFCC00CC"/>
        </patternFill>
      </fill>
    </dxf>
    <dxf>
      <font>
        <b/>
        <i/>
        <color theme="0"/>
      </font>
      <fill>
        <patternFill>
          <bgColor rgb="FFFF9900"/>
        </patternFill>
      </fill>
    </dxf>
    <dxf>
      <font>
        <b/>
        <i/>
        <color theme="0"/>
      </font>
      <fill>
        <patternFill>
          <bgColor rgb="FFFF9900"/>
        </patternFill>
      </fill>
    </dxf>
    <dxf>
      <font>
        <color theme="0"/>
      </font>
      <fill>
        <patternFill patternType="solid">
          <fgColor auto="1"/>
          <bgColor rgb="FF6600FF"/>
        </patternFill>
      </fill>
    </dxf>
    <dxf>
      <font>
        <color theme="0"/>
      </font>
      <fill>
        <patternFill>
          <bgColor rgb="FFCC00CC"/>
        </patternFill>
      </fill>
    </dxf>
    <dxf>
      <font>
        <color theme="0"/>
      </font>
      <fill>
        <patternFill>
          <bgColor rgb="FFCC00CC"/>
        </patternFill>
      </fill>
    </dxf>
    <dxf>
      <font>
        <b/>
        <i/>
        <color theme="0"/>
      </font>
      <fill>
        <patternFill>
          <bgColor rgb="FFFF9900"/>
        </patternFill>
      </fill>
    </dxf>
    <dxf>
      <font>
        <color theme="0"/>
      </font>
      <fill>
        <patternFill patternType="solid">
          <fgColor auto="1"/>
          <bgColor rgb="FF6600FF"/>
        </patternFill>
      </fill>
    </dxf>
    <dxf>
      <font>
        <color theme="0"/>
      </font>
      <fill>
        <patternFill>
          <bgColor rgb="FFCC00CC"/>
        </patternFill>
      </fill>
    </dxf>
    <dxf>
      <font>
        <b/>
        <i/>
        <color theme="0"/>
      </font>
      <fill>
        <patternFill>
          <bgColor rgb="FFFF9900"/>
        </patternFill>
      </fill>
    </dxf>
    <dxf>
      <font>
        <color theme="0"/>
      </font>
      <fill>
        <patternFill patternType="solid">
          <fgColor auto="1"/>
          <bgColor rgb="FF6600FF"/>
        </patternFill>
      </fill>
    </dxf>
    <dxf>
      <font>
        <color theme="0"/>
      </font>
      <fill>
        <patternFill patternType="solid">
          <fgColor auto="1"/>
          <bgColor rgb="FF6600FF"/>
        </patternFill>
      </fill>
    </dxf>
    <dxf>
      <font>
        <b/>
        <i/>
        <color theme="0"/>
      </font>
      <fill>
        <patternFill>
          <bgColor rgb="FFFF9900"/>
        </patternFill>
      </fill>
    </dxf>
    <dxf>
      <font>
        <color theme="0"/>
      </font>
      <fill>
        <patternFill>
          <bgColor rgb="FFCC00CC"/>
        </patternFill>
      </fill>
    </dxf>
    <dxf>
      <font>
        <color theme="0"/>
      </font>
      <fill>
        <patternFill patternType="solid">
          <fgColor auto="1"/>
          <bgColor rgb="FF6600FF"/>
        </patternFill>
      </fill>
    </dxf>
    <dxf>
      <font>
        <color theme="0"/>
      </font>
      <fill>
        <patternFill>
          <bgColor rgb="FFCC00CC"/>
        </patternFill>
      </fill>
    </dxf>
    <dxf>
      <font>
        <b/>
        <i/>
        <color theme="0"/>
      </font>
      <fill>
        <patternFill>
          <bgColor rgb="FFFF9900"/>
        </patternFill>
      </fill>
    </dxf>
    <dxf>
      <font>
        <color theme="0"/>
      </font>
      <fill>
        <patternFill patternType="solid">
          <fgColor auto="1"/>
          <bgColor rgb="FF6600FF"/>
        </patternFill>
      </fill>
    </dxf>
    <dxf>
      <font>
        <color theme="0"/>
      </font>
      <fill>
        <patternFill>
          <bgColor rgb="FFCC00CC"/>
        </patternFill>
      </fill>
    </dxf>
    <dxf>
      <font>
        <b/>
        <i/>
        <color theme="0"/>
      </font>
      <fill>
        <patternFill>
          <bgColor rgb="FFFF9900"/>
        </patternFill>
      </fill>
    </dxf>
    <dxf>
      <font>
        <b/>
        <i/>
        <color theme="0"/>
      </font>
      <fill>
        <patternFill>
          <bgColor rgb="FFFF9900"/>
        </patternFill>
      </fill>
    </dxf>
    <dxf>
      <font>
        <color theme="0"/>
      </font>
      <fill>
        <patternFill>
          <bgColor rgb="FFCC00CC"/>
        </patternFill>
      </fill>
    </dxf>
    <dxf>
      <font>
        <color theme="0"/>
      </font>
      <fill>
        <patternFill patternType="solid">
          <fgColor auto="1"/>
          <bgColor rgb="FF6600FF"/>
        </patternFill>
      </fill>
    </dxf>
    <dxf>
      <font>
        <color theme="0"/>
      </font>
      <fill>
        <patternFill patternType="solid">
          <fgColor auto="1"/>
          <bgColor rgb="FF6600FF"/>
        </patternFill>
      </fill>
    </dxf>
    <dxf>
      <font>
        <b/>
        <i/>
        <color theme="0"/>
      </font>
      <fill>
        <patternFill>
          <bgColor rgb="FFFF9900"/>
        </patternFill>
      </fill>
    </dxf>
    <dxf>
      <font>
        <color theme="0"/>
      </font>
      <fill>
        <patternFill>
          <bgColor rgb="FFCC00CC"/>
        </patternFill>
      </fill>
    </dxf>
    <dxf>
      <font>
        <color theme="0"/>
      </font>
      <fill>
        <patternFill>
          <bgColor rgb="FFCC00CC"/>
        </patternFill>
      </fill>
    </dxf>
    <dxf>
      <font>
        <color theme="0"/>
      </font>
      <fill>
        <patternFill patternType="solid">
          <fgColor auto="1"/>
          <bgColor rgb="FF6600FF"/>
        </patternFill>
      </fill>
    </dxf>
    <dxf>
      <font>
        <b/>
        <i/>
        <color theme="0"/>
      </font>
      <fill>
        <patternFill>
          <bgColor rgb="FFFF9900"/>
        </patternFill>
      </fill>
    </dxf>
    <dxf>
      <font>
        <color theme="0"/>
      </font>
      <fill>
        <patternFill>
          <bgColor rgb="FFCC00CC"/>
        </patternFill>
      </fill>
    </dxf>
    <dxf>
      <font>
        <color theme="0"/>
      </font>
      <fill>
        <patternFill patternType="solid">
          <fgColor auto="1"/>
          <bgColor rgb="FF6600FF"/>
        </patternFill>
      </fill>
    </dxf>
    <dxf>
      <font>
        <b/>
        <i/>
        <color theme="0"/>
      </font>
      <fill>
        <patternFill>
          <bgColor rgb="FFFF9900"/>
        </patternFill>
      </fill>
    </dxf>
    <dxf>
      <font>
        <color theme="0"/>
      </font>
      <fill>
        <patternFill>
          <bgColor rgb="FFCC00CC"/>
        </patternFill>
      </fill>
    </dxf>
    <dxf>
      <font>
        <b/>
        <i/>
        <color theme="0"/>
      </font>
      <fill>
        <patternFill>
          <bgColor rgb="FFFF9900"/>
        </patternFill>
      </fill>
    </dxf>
    <dxf>
      <font>
        <color theme="0"/>
      </font>
      <fill>
        <patternFill patternType="solid">
          <fgColor auto="1"/>
          <bgColor rgb="FF6600FF"/>
        </patternFill>
      </fill>
    </dxf>
    <dxf>
      <font>
        <b/>
        <i/>
        <color theme="0"/>
      </font>
      <fill>
        <patternFill>
          <bgColor rgb="FFFF9900"/>
        </patternFill>
      </fill>
    </dxf>
    <dxf>
      <font>
        <color theme="0"/>
      </font>
      <fill>
        <patternFill>
          <bgColor rgb="FFCC00CC"/>
        </patternFill>
      </fill>
    </dxf>
    <dxf>
      <font>
        <color theme="0"/>
      </font>
      <fill>
        <patternFill patternType="solid">
          <fgColor auto="1"/>
          <bgColor rgb="FF6600FF"/>
        </patternFill>
      </fill>
    </dxf>
    <dxf>
      <font>
        <color theme="0"/>
      </font>
      <fill>
        <patternFill patternType="solid">
          <fgColor auto="1"/>
          <bgColor rgb="FF6600FF"/>
        </patternFill>
      </fill>
    </dxf>
    <dxf>
      <font>
        <color theme="0"/>
      </font>
      <fill>
        <patternFill>
          <bgColor rgb="FFCC00CC"/>
        </patternFill>
      </fill>
    </dxf>
    <dxf>
      <font>
        <b/>
        <i/>
        <color theme="0"/>
      </font>
      <fill>
        <patternFill>
          <bgColor rgb="FFFF9900"/>
        </patternFill>
      </fill>
    </dxf>
    <dxf>
      <font>
        <color theme="0"/>
      </font>
      <fill>
        <patternFill patternType="solid">
          <fgColor auto="1"/>
          <bgColor rgb="FF6600FF"/>
        </patternFill>
      </fill>
    </dxf>
    <dxf>
      <font>
        <b/>
        <i/>
        <color theme="0"/>
      </font>
      <fill>
        <patternFill>
          <bgColor rgb="FFFF9900"/>
        </patternFill>
      </fill>
    </dxf>
    <dxf>
      <font>
        <color theme="0"/>
      </font>
      <fill>
        <patternFill>
          <bgColor rgb="FFCC00CC"/>
        </patternFill>
      </fill>
    </dxf>
    <dxf>
      <font>
        <b/>
        <i/>
        <color theme="0"/>
      </font>
      <fill>
        <patternFill>
          <bgColor rgb="FFFF9900"/>
        </patternFill>
      </fill>
    </dxf>
    <dxf>
      <font>
        <color theme="0"/>
      </font>
      <fill>
        <patternFill>
          <bgColor rgb="FFCC00CC"/>
        </patternFill>
      </fill>
    </dxf>
    <dxf>
      <font>
        <color theme="0"/>
      </font>
      <fill>
        <patternFill patternType="solid">
          <fgColor auto="1"/>
          <bgColor rgb="FF6600FF"/>
        </patternFill>
      </fill>
    </dxf>
    <dxf>
      <font>
        <b/>
        <i/>
        <color theme="0"/>
      </font>
      <fill>
        <patternFill>
          <bgColor rgb="FFFF9900"/>
        </patternFill>
      </fill>
    </dxf>
    <dxf>
      <font>
        <color theme="0"/>
      </font>
      <fill>
        <patternFill patternType="solid">
          <fgColor auto="1"/>
          <bgColor rgb="FF6600FF"/>
        </patternFill>
      </fill>
    </dxf>
    <dxf>
      <font>
        <color theme="0"/>
      </font>
      <fill>
        <patternFill>
          <bgColor rgb="FFCC00CC"/>
        </patternFill>
      </fill>
    </dxf>
    <dxf>
      <font>
        <b/>
        <i/>
        <color theme="0"/>
      </font>
      <fill>
        <patternFill>
          <bgColor rgb="FFFF9900"/>
        </patternFill>
      </fill>
    </dxf>
    <dxf>
      <font>
        <color theme="0"/>
      </font>
      <fill>
        <patternFill patternType="solid">
          <fgColor auto="1"/>
          <bgColor rgb="FF6600FF"/>
        </patternFill>
      </fill>
    </dxf>
    <dxf>
      <font>
        <color theme="0"/>
      </font>
      <fill>
        <patternFill>
          <bgColor rgb="FFCC00CC"/>
        </patternFill>
      </fill>
    </dxf>
    <dxf>
      <font>
        <b/>
        <i/>
        <color theme="0"/>
      </font>
      <fill>
        <patternFill>
          <bgColor rgb="FFFF9900"/>
        </patternFill>
      </fill>
    </dxf>
    <dxf>
      <font>
        <color theme="0"/>
      </font>
      <fill>
        <patternFill>
          <bgColor rgb="FFCC00CC"/>
        </patternFill>
      </fill>
    </dxf>
    <dxf>
      <font>
        <color theme="0"/>
      </font>
      <fill>
        <patternFill patternType="solid">
          <fgColor auto="1"/>
          <bgColor rgb="FF6600FF"/>
        </patternFill>
      </fill>
    </dxf>
    <dxf>
      <font>
        <b/>
        <i/>
        <color theme="0"/>
      </font>
      <fill>
        <patternFill>
          <bgColor rgb="FFFF9900"/>
        </patternFill>
      </fill>
    </dxf>
    <dxf>
      <font>
        <color theme="0"/>
      </font>
      <fill>
        <patternFill patternType="solid">
          <fgColor auto="1"/>
          <bgColor rgb="FF6600FF"/>
        </patternFill>
      </fill>
    </dxf>
    <dxf>
      <font>
        <color theme="0"/>
      </font>
      <fill>
        <patternFill>
          <bgColor rgb="FFCC00CC"/>
        </patternFill>
      </fill>
    </dxf>
    <dxf>
      <font>
        <color theme="0"/>
      </font>
      <fill>
        <patternFill patternType="solid">
          <fgColor auto="1"/>
          <bgColor rgb="FF6600FF"/>
        </patternFill>
      </fill>
    </dxf>
    <dxf>
      <font>
        <color theme="0"/>
      </font>
      <fill>
        <patternFill>
          <bgColor rgb="FFCC00CC"/>
        </patternFill>
      </fill>
    </dxf>
    <dxf>
      <font>
        <b/>
        <i/>
        <color theme="0"/>
      </font>
      <fill>
        <patternFill>
          <bgColor rgb="FFFF9900"/>
        </patternFill>
      </fill>
    </dxf>
    <dxf>
      <font>
        <color theme="0"/>
      </font>
      <fill>
        <patternFill patternType="solid">
          <fgColor auto="1"/>
          <bgColor rgb="FF6600FF"/>
        </patternFill>
      </fill>
    </dxf>
    <dxf>
      <font>
        <b/>
        <i/>
        <color theme="0"/>
      </font>
      <fill>
        <patternFill>
          <bgColor rgb="FFFF9900"/>
        </patternFill>
      </fill>
    </dxf>
    <dxf>
      <font>
        <color theme="0"/>
      </font>
      <fill>
        <patternFill>
          <bgColor rgb="FFCC00CC"/>
        </patternFill>
      </fill>
    </dxf>
    <dxf>
      <font>
        <color theme="0"/>
      </font>
      <fill>
        <patternFill>
          <bgColor rgb="FFCC00CC"/>
        </patternFill>
      </fill>
    </dxf>
    <dxf>
      <font>
        <color theme="0"/>
      </font>
      <fill>
        <patternFill patternType="solid">
          <fgColor auto="1"/>
          <bgColor rgb="FF6600FF"/>
        </patternFill>
      </fill>
    </dxf>
    <dxf>
      <font>
        <b/>
        <i/>
        <color theme="0"/>
      </font>
      <fill>
        <patternFill>
          <bgColor rgb="FFFF9900"/>
        </patternFill>
      </fill>
    </dxf>
    <dxf>
      <font>
        <color theme="0"/>
      </font>
      <fill>
        <patternFill>
          <bgColor rgb="FFCC00CC"/>
        </patternFill>
      </fill>
    </dxf>
    <dxf>
      <font>
        <color theme="0"/>
      </font>
      <fill>
        <patternFill patternType="solid">
          <fgColor auto="1"/>
          <bgColor rgb="FF6600FF"/>
        </patternFill>
      </fill>
    </dxf>
    <dxf>
      <font>
        <b/>
        <i/>
        <color theme="0"/>
      </font>
      <fill>
        <patternFill>
          <bgColor rgb="FFFF9900"/>
        </patternFill>
      </fill>
    </dxf>
    <dxf>
      <font>
        <color theme="0"/>
      </font>
      <fill>
        <patternFill patternType="solid">
          <fgColor auto="1"/>
          <bgColor rgb="FF6600FF"/>
        </patternFill>
      </fill>
    </dxf>
    <dxf>
      <font>
        <color theme="0"/>
      </font>
      <fill>
        <patternFill>
          <bgColor rgb="FFCC00CC"/>
        </patternFill>
      </fill>
    </dxf>
    <dxf>
      <font>
        <b/>
        <i/>
        <color theme="0"/>
      </font>
      <fill>
        <patternFill>
          <bgColor rgb="FFFF9900"/>
        </patternFill>
      </fill>
    </dxf>
    <dxf>
      <font>
        <color theme="0"/>
      </font>
      <fill>
        <patternFill>
          <bgColor rgb="FFCC00CC"/>
        </patternFill>
      </fill>
    </dxf>
    <dxf>
      <font>
        <b/>
        <i/>
        <color theme="0"/>
      </font>
      <fill>
        <patternFill>
          <bgColor rgb="FFFF9900"/>
        </patternFill>
      </fill>
    </dxf>
    <dxf>
      <font>
        <color theme="0"/>
      </font>
      <fill>
        <patternFill patternType="solid">
          <fgColor auto="1"/>
          <bgColor rgb="FF6600FF"/>
        </patternFill>
      </fill>
    </dxf>
    <dxf>
      <font>
        <color theme="0"/>
      </font>
      <fill>
        <patternFill>
          <bgColor rgb="FFCC00CC"/>
        </patternFill>
      </fill>
    </dxf>
    <dxf>
      <font>
        <color theme="0"/>
      </font>
      <fill>
        <patternFill patternType="solid">
          <fgColor auto="1"/>
          <bgColor rgb="FF6600FF"/>
        </patternFill>
      </fill>
    </dxf>
    <dxf>
      <font>
        <b/>
        <i/>
        <color theme="0"/>
      </font>
      <fill>
        <patternFill>
          <bgColor rgb="FFFF9900"/>
        </patternFill>
      </fill>
    </dxf>
    <dxf>
      <font>
        <color theme="0"/>
      </font>
      <fill>
        <patternFill patternType="solid">
          <fgColor auto="1"/>
          <bgColor rgb="FF6600FF"/>
        </patternFill>
      </fill>
    </dxf>
    <dxf>
      <font>
        <color theme="0"/>
      </font>
      <fill>
        <patternFill>
          <bgColor rgb="FFCC00CC"/>
        </patternFill>
      </fill>
    </dxf>
    <dxf>
      <font>
        <b/>
        <i/>
        <color theme="0"/>
      </font>
      <fill>
        <patternFill>
          <bgColor rgb="FFFF9900"/>
        </patternFill>
      </fill>
    </dxf>
    <dxf>
      <font>
        <color theme="0"/>
      </font>
      <fill>
        <patternFill patternType="solid">
          <fgColor auto="1"/>
          <bgColor rgb="FF6600FF"/>
        </patternFill>
      </fill>
    </dxf>
    <dxf>
      <font>
        <color theme="0"/>
      </font>
      <fill>
        <patternFill>
          <bgColor rgb="FFCC00CC"/>
        </patternFill>
      </fill>
    </dxf>
    <dxf>
      <font>
        <b/>
        <i/>
        <color theme="0"/>
      </font>
      <fill>
        <patternFill>
          <bgColor rgb="FFFF9900"/>
        </patternFill>
      </fill>
    </dxf>
    <dxf>
      <font>
        <b/>
        <i/>
        <color theme="0"/>
      </font>
      <fill>
        <patternFill>
          <bgColor rgb="FFFF9900"/>
        </patternFill>
      </fill>
    </dxf>
    <dxf>
      <font>
        <color theme="0"/>
      </font>
      <fill>
        <patternFill patternType="solid">
          <fgColor auto="1"/>
          <bgColor rgb="FF6600FF"/>
        </patternFill>
      </fill>
    </dxf>
    <dxf>
      <font>
        <color theme="0"/>
      </font>
      <fill>
        <patternFill>
          <bgColor rgb="FFCC00CC"/>
        </patternFill>
      </fill>
    </dxf>
  </dxfs>
  <tableStyles count="0" defaultTableStyle="TableStyleMedium9" defaultPivotStyle="PivotStyleLight16"/>
  <colors>
    <mruColors>
      <color rgb="FF66FF33"/>
      <color rgb="FFCC00FF"/>
      <color rgb="FF6600FF"/>
      <color rgb="FFCC00CC"/>
      <color rgb="FFFF9900"/>
      <color rgb="FF66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gruasdanielesrl.sharepoint.com/sites/FileServer/Documentos%20compartidos/03_OPERACIONES/Planificaci&#243;n%20y%20Control/GD%20SALIDA%20OPERACIONES/GD%20Salida%20Operaciones%202024/2024-11/GD%20200-Salida%20Operaciones%2020241128.xlsx" TargetMode="External"/><Relationship Id="rId2" Type="http://schemas.openxmlformats.org/officeDocument/2006/relationships/externalLinkPath" Target="https://gruasdanielesrl.sharepoint.com/sites/FileServer/Documentos%20compartidos/Migrado/GD%20SALIDA%20OPERACIONES/GD%20Salida%20Operaciones%202024/2024-11/GD%20200-Salida%20Operaciones%2020241128.xlsx" TargetMode="External"/><Relationship Id="rId1" Type="http://schemas.openxmlformats.org/officeDocument/2006/relationships/externalLinkPath" Target="/sites/FileServer/Documentos%20compartidos/03_OPERACIONES/Planificaci&#243;n%20y%20Control/GD%20SALIDA%20OPERACIONES/GD%20Salida%20Operaciones%202024/2024-11/GD%20200-Salida%20Operaciones%20202411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peracion"/>
      <sheetName val="Personal"/>
      <sheetName val="GUARDIAS "/>
      <sheetName val="Resumen Montera"/>
      <sheetName val="Resumen Rivas"/>
      <sheetName val="Resumen FMB"/>
      <sheetName val="100-Kia"/>
      <sheetName val="101-Hyundai"/>
      <sheetName val="105-VW 9150"/>
      <sheetName val="106-Iveco Euro 220"/>
      <sheetName val="110-Iveco Tector"/>
      <sheetName val="111-Iveco DS - 240"/>
      <sheetName val="113-Iveco DS - 240"/>
      <sheetName val="109-Scania"/>
      <sheetName val="112-Iveco DS"/>
      <sheetName val="402-Autoelevador"/>
      <sheetName val="403-Autoelevador"/>
      <sheetName val="404-Autoelevador"/>
      <sheetName val="405-Autoelevador "/>
      <sheetName val="406-Autoelevador"/>
      <sheetName val="407-Autoelevador"/>
      <sheetName val="408-Autoelevador "/>
      <sheetName val="454-Manipiulador"/>
      <sheetName val="500-Liebherr 1030"/>
      <sheetName val="502-Liebherr 1070"/>
      <sheetName val="503-Liebherr 1090"/>
      <sheetName val="504-Liebherr 1100"/>
      <sheetName val="505-Liebherr 1250"/>
      <sheetName val="510- Tadano 300ex"/>
      <sheetName val="511 -Terex 4003"/>
      <sheetName val="516-Grove gmk 2035"/>
      <sheetName val="517-Grove gmk 5130"/>
      <sheetName val="518 - Liebherr 1060 3.1"/>
      <sheetName val="519 - TADANO FAUN HK70"/>
      <sheetName val="520 - Liebherr 1070"/>
      <sheetName val="521 - Liebherr 1150"/>
      <sheetName val="702-Alquiler 3"/>
      <sheetName val="703-Alquiler 4"/>
      <sheetName val="Empresas"/>
      <sheetName val="Equipos"/>
      <sheetName val="Verificador"/>
      <sheetName val="Operador"/>
      <sheetName val="BAJA 103"/>
      <sheetName val="BAJA 50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9">
    <tabColor rgb="FFCC00FF"/>
    <pageSetUpPr fitToPage="1"/>
  </sheetPr>
  <dimension ref="A1:AP418"/>
  <sheetViews>
    <sheetView showGridLines="0" topLeftCell="A236" zoomScale="85" zoomScaleNormal="85" workbookViewId="0">
      <selection activeCell="H243" sqref="H243:I243"/>
    </sheetView>
  </sheetViews>
  <sheetFormatPr defaultColWidth="11.42578125" defaultRowHeight="13.9"/>
  <cols>
    <col min="1" max="1" width="9" style="134" bestFit="1" customWidth="1"/>
    <col min="2" max="2" width="39" style="15" bestFit="1" customWidth="1"/>
    <col min="3" max="3" width="9.7109375" style="15" bestFit="1" customWidth="1"/>
    <col min="4" max="4" width="36.42578125" style="16" bestFit="1" customWidth="1"/>
    <col min="5" max="5" width="14.28515625" style="64" bestFit="1" customWidth="1"/>
    <col min="6" max="6" width="23.42578125" style="16" bestFit="1" customWidth="1"/>
    <col min="7" max="7" width="19.7109375" style="18" bestFit="1" customWidth="1"/>
    <col min="8" max="8" width="19.5703125" style="17" customWidth="1"/>
    <col min="9" max="11" width="15.7109375" style="17" customWidth="1"/>
    <col min="12" max="12" width="16.5703125" style="17" customWidth="1"/>
    <col min="13" max="13" width="11.42578125" style="17"/>
    <col min="14" max="14" width="35.85546875" style="17" customWidth="1"/>
    <col min="15" max="15" width="15" style="17" customWidth="1"/>
    <col min="16" max="16" width="22.85546875" style="17" bestFit="1" customWidth="1"/>
    <col min="17" max="17" width="15.140625" style="17" bestFit="1" customWidth="1"/>
    <col min="18" max="18" width="19.7109375" style="17" customWidth="1"/>
    <col min="19" max="19" width="15.85546875" style="17" customWidth="1"/>
    <col min="20" max="20" width="15.7109375" style="17" customWidth="1"/>
    <col min="21" max="21" width="16" style="17" customWidth="1"/>
    <col min="22" max="22" width="16.42578125" style="17" customWidth="1"/>
    <col min="23" max="23" width="11.42578125" style="17"/>
    <col min="24" max="24" width="35.85546875" style="17" customWidth="1"/>
    <col min="25" max="25" width="15" style="17" customWidth="1"/>
    <col min="26" max="26" width="22.85546875" style="17" bestFit="1" customWidth="1"/>
    <col min="27" max="27" width="15.140625" style="17" bestFit="1" customWidth="1"/>
    <col min="28" max="28" width="19.7109375" style="17" customWidth="1"/>
    <col min="29" max="29" width="15.85546875" style="17" customWidth="1"/>
    <col min="30" max="30" width="15.7109375" style="17" customWidth="1"/>
    <col min="31" max="31" width="16" style="17" customWidth="1"/>
    <col min="32" max="32" width="16.7109375" style="17" customWidth="1"/>
    <col min="33" max="33" width="11.42578125" style="17"/>
    <col min="34" max="34" width="35.85546875" style="17" customWidth="1"/>
    <col min="35" max="35" width="15" style="17" customWidth="1"/>
    <col min="36" max="36" width="22.85546875" style="17" bestFit="1" customWidth="1"/>
    <col min="37" max="37" width="15.140625" style="17" bestFit="1" customWidth="1"/>
    <col min="38" max="38" width="19.7109375" style="17" customWidth="1"/>
    <col min="39" max="39" width="15.85546875" style="17" customWidth="1"/>
    <col min="40" max="40" width="15.7109375" style="17" customWidth="1"/>
    <col min="41" max="41" width="16" style="17" customWidth="1"/>
    <col min="42" max="42" width="16.140625" style="17" customWidth="1"/>
    <col min="43" max="16384" width="11.42578125" style="17"/>
  </cols>
  <sheetData>
    <row r="1" spans="1:42" s="36" customFormat="1" ht="29.45" thickBot="1">
      <c r="A1" s="133"/>
      <c r="B1" s="35" t="s">
        <v>0</v>
      </c>
      <c r="C1" s="35"/>
      <c r="D1" s="41">
        <v>46278</v>
      </c>
      <c r="E1" s="245"/>
      <c r="F1" s="245"/>
      <c r="G1" s="200"/>
      <c r="H1" s="200"/>
      <c r="I1" s="200"/>
      <c r="J1" s="200"/>
      <c r="K1" s="200"/>
      <c r="L1" s="200"/>
    </row>
    <row r="2" spans="1:42" ht="28.5" customHeight="1" thickBot="1">
      <c r="B2" s="251" t="s">
        <v>1</v>
      </c>
      <c r="C2" s="222" t="s">
        <v>2</v>
      </c>
      <c r="D2" s="112" t="s">
        <v>3</v>
      </c>
      <c r="E2" s="224" t="s">
        <v>4</v>
      </c>
      <c r="F2" s="225"/>
      <c r="G2" s="226" t="s">
        <v>5</v>
      </c>
      <c r="H2" s="227"/>
      <c r="I2" s="227"/>
      <c r="J2" s="227"/>
      <c r="K2" s="227"/>
      <c r="L2" s="228"/>
      <c r="M2" s="222" t="s">
        <v>2</v>
      </c>
      <c r="N2" s="112" t="s">
        <v>3</v>
      </c>
      <c r="O2" s="224" t="s">
        <v>4</v>
      </c>
      <c r="P2" s="225"/>
      <c r="Q2" s="226" t="s">
        <v>6</v>
      </c>
      <c r="R2" s="227"/>
      <c r="S2" s="227"/>
      <c r="T2" s="227"/>
      <c r="U2" s="227"/>
      <c r="V2" s="228"/>
      <c r="W2" s="222" t="s">
        <v>2</v>
      </c>
      <c r="X2" s="112" t="s">
        <v>3</v>
      </c>
      <c r="Y2" s="224" t="s">
        <v>4</v>
      </c>
      <c r="Z2" s="225"/>
      <c r="AA2" s="226" t="s">
        <v>7</v>
      </c>
      <c r="AB2" s="227"/>
      <c r="AC2" s="227"/>
      <c r="AD2" s="227"/>
      <c r="AE2" s="227"/>
      <c r="AF2" s="228"/>
      <c r="AG2" s="222" t="s">
        <v>2</v>
      </c>
      <c r="AH2" s="112" t="s">
        <v>3</v>
      </c>
      <c r="AI2" s="224" t="s">
        <v>4</v>
      </c>
      <c r="AJ2" s="225"/>
      <c r="AK2" s="226" t="s">
        <v>8</v>
      </c>
      <c r="AL2" s="227"/>
      <c r="AM2" s="227"/>
      <c r="AN2" s="227"/>
      <c r="AO2" s="227"/>
      <c r="AP2" s="228"/>
    </row>
    <row r="3" spans="1:42" ht="28.5" customHeight="1" thickBot="1">
      <c r="B3" s="252"/>
      <c r="C3" s="223"/>
      <c r="D3" s="199" t="s">
        <v>9</v>
      </c>
      <c r="E3" s="199" t="s">
        <v>10</v>
      </c>
      <c r="F3" s="112" t="s">
        <v>9</v>
      </c>
      <c r="G3" s="229" t="s">
        <v>11</v>
      </c>
      <c r="H3" s="229"/>
      <c r="I3" s="71" t="s">
        <v>12</v>
      </c>
      <c r="J3" s="147">
        <v>0</v>
      </c>
      <c r="K3" s="71" t="s">
        <v>13</v>
      </c>
      <c r="L3" s="148">
        <v>0</v>
      </c>
      <c r="M3" s="223"/>
      <c r="N3" s="199" t="s">
        <v>9</v>
      </c>
      <c r="O3" s="199" t="s">
        <v>10</v>
      </c>
      <c r="P3" s="112" t="s">
        <v>9</v>
      </c>
      <c r="Q3" s="229" t="s">
        <v>11</v>
      </c>
      <c r="R3" s="229"/>
      <c r="S3" s="71" t="s">
        <v>12</v>
      </c>
      <c r="T3" s="147">
        <v>0</v>
      </c>
      <c r="U3" s="71" t="s">
        <v>13</v>
      </c>
      <c r="V3" s="148">
        <v>0</v>
      </c>
      <c r="W3" s="223"/>
      <c r="X3" s="199" t="s">
        <v>9</v>
      </c>
      <c r="Y3" s="199" t="s">
        <v>10</v>
      </c>
      <c r="Z3" s="112" t="s">
        <v>9</v>
      </c>
      <c r="AA3" s="229" t="s">
        <v>11</v>
      </c>
      <c r="AB3" s="229"/>
      <c r="AC3" s="71" t="s">
        <v>12</v>
      </c>
      <c r="AD3" s="147">
        <v>0</v>
      </c>
      <c r="AE3" s="71" t="s">
        <v>13</v>
      </c>
      <c r="AF3" s="148">
        <v>0</v>
      </c>
      <c r="AG3" s="223"/>
      <c r="AH3" s="199" t="s">
        <v>9</v>
      </c>
      <c r="AI3" s="199" t="s">
        <v>10</v>
      </c>
      <c r="AJ3" s="112" t="s">
        <v>9</v>
      </c>
      <c r="AK3" s="229" t="s">
        <v>11</v>
      </c>
      <c r="AL3" s="229"/>
      <c r="AM3" s="71" t="s">
        <v>12</v>
      </c>
      <c r="AN3" s="147">
        <v>0</v>
      </c>
      <c r="AO3" s="71" t="s">
        <v>13</v>
      </c>
      <c r="AP3" s="148">
        <v>0</v>
      </c>
    </row>
    <row r="4" spans="1:42" ht="28.5" customHeight="1">
      <c r="A4" s="132"/>
      <c r="B4" s="58" t="s">
        <v>14</v>
      </c>
      <c r="C4" s="230"/>
      <c r="D4" s="113"/>
      <c r="E4" s="58" t="s">
        <v>15</v>
      </c>
      <c r="F4" s="195" t="s">
        <v>16</v>
      </c>
      <c r="G4" s="69" t="s">
        <v>17</v>
      </c>
      <c r="H4" s="233"/>
      <c r="I4" s="233"/>
      <c r="J4" s="233"/>
      <c r="K4" s="69" t="s">
        <v>18</v>
      </c>
      <c r="L4" s="72"/>
      <c r="M4" s="230"/>
      <c r="N4" s="113" t="s">
        <v>16</v>
      </c>
      <c r="O4" s="58" t="s">
        <v>15</v>
      </c>
      <c r="P4" s="195" t="s">
        <v>16</v>
      </c>
      <c r="Q4" s="69" t="s">
        <v>17</v>
      </c>
      <c r="R4" s="233"/>
      <c r="S4" s="233"/>
      <c r="T4" s="233"/>
      <c r="U4" s="69" t="s">
        <v>18</v>
      </c>
      <c r="V4" s="72"/>
      <c r="W4" s="230"/>
      <c r="X4" s="113" t="s">
        <v>16</v>
      </c>
      <c r="Y4" s="58" t="s">
        <v>15</v>
      </c>
      <c r="Z4" s="195" t="s">
        <v>16</v>
      </c>
      <c r="AA4" s="69" t="s">
        <v>17</v>
      </c>
      <c r="AB4" s="233"/>
      <c r="AC4" s="233"/>
      <c r="AD4" s="233"/>
      <c r="AE4" s="69" t="s">
        <v>18</v>
      </c>
      <c r="AF4" s="72"/>
      <c r="AG4" s="230"/>
      <c r="AH4" s="113" t="s">
        <v>16</v>
      </c>
      <c r="AI4" s="58" t="s">
        <v>15</v>
      </c>
      <c r="AJ4" s="195" t="s">
        <v>16</v>
      </c>
      <c r="AK4" s="69" t="s">
        <v>17</v>
      </c>
      <c r="AL4" s="233"/>
      <c r="AM4" s="233"/>
      <c r="AN4" s="233"/>
      <c r="AO4" s="69" t="s">
        <v>18</v>
      </c>
      <c r="AP4" s="72"/>
    </row>
    <row r="5" spans="1:42" ht="28.5" customHeight="1">
      <c r="B5" s="114" t="str">
        <f>VLOOKUP(B4,tablaequipo,4)</f>
        <v xml:space="preserve">Camion </v>
      </c>
      <c r="C5" s="231"/>
      <c r="D5" s="113"/>
      <c r="E5" s="58" t="s">
        <v>15</v>
      </c>
      <c r="F5" s="195" t="s">
        <v>19</v>
      </c>
      <c r="G5" s="146" t="s">
        <v>20</v>
      </c>
      <c r="H5" s="234"/>
      <c r="I5" s="234"/>
      <c r="J5" s="234"/>
      <c r="K5" s="234"/>
      <c r="L5" s="235"/>
      <c r="M5" s="231"/>
      <c r="N5" s="113" t="s">
        <v>19</v>
      </c>
      <c r="O5" s="58" t="s">
        <v>15</v>
      </c>
      <c r="P5" s="195" t="s">
        <v>19</v>
      </c>
      <c r="Q5" s="146" t="s">
        <v>20</v>
      </c>
      <c r="R5" s="234"/>
      <c r="S5" s="234"/>
      <c r="T5" s="234"/>
      <c r="U5" s="234"/>
      <c r="V5" s="235"/>
      <c r="W5" s="231"/>
      <c r="X5" s="113" t="s">
        <v>19</v>
      </c>
      <c r="Y5" s="58" t="s">
        <v>15</v>
      </c>
      <c r="Z5" s="195" t="s">
        <v>19</v>
      </c>
      <c r="AA5" s="146" t="s">
        <v>20</v>
      </c>
      <c r="AB5" s="234"/>
      <c r="AC5" s="234"/>
      <c r="AD5" s="234"/>
      <c r="AE5" s="234"/>
      <c r="AF5" s="235"/>
      <c r="AG5" s="231"/>
      <c r="AH5" s="113" t="s">
        <v>19</v>
      </c>
      <c r="AI5" s="58" t="s">
        <v>15</v>
      </c>
      <c r="AJ5" s="195" t="s">
        <v>19</v>
      </c>
      <c r="AK5" s="146" t="s">
        <v>20</v>
      </c>
      <c r="AL5" s="234"/>
      <c r="AM5" s="234"/>
      <c r="AN5" s="234"/>
      <c r="AO5" s="234"/>
      <c r="AP5" s="235"/>
    </row>
    <row r="6" spans="1:42" ht="28.5" customHeight="1">
      <c r="B6" s="114" t="str">
        <f>VLOOKUP(B4,tablaequipo,6)</f>
        <v>KIA</v>
      </c>
      <c r="C6" s="231"/>
      <c r="D6" s="113"/>
      <c r="E6" s="58" t="s">
        <v>15</v>
      </c>
      <c r="F6" s="195" t="s">
        <v>19</v>
      </c>
      <c r="G6" s="70" t="s">
        <v>21</v>
      </c>
      <c r="H6" s="236"/>
      <c r="I6" s="236"/>
      <c r="J6" s="236"/>
      <c r="K6" s="70" t="s">
        <v>22</v>
      </c>
      <c r="L6" s="68"/>
      <c r="M6" s="231"/>
      <c r="N6" s="113" t="s">
        <v>19</v>
      </c>
      <c r="O6" s="58" t="s">
        <v>15</v>
      </c>
      <c r="P6" s="195" t="s">
        <v>19</v>
      </c>
      <c r="Q6" s="70" t="s">
        <v>21</v>
      </c>
      <c r="R6" s="236"/>
      <c r="S6" s="236"/>
      <c r="T6" s="236"/>
      <c r="U6" s="70" t="s">
        <v>22</v>
      </c>
      <c r="V6" s="68"/>
      <c r="W6" s="231"/>
      <c r="X6" s="113" t="s">
        <v>19</v>
      </c>
      <c r="Y6" s="58" t="s">
        <v>15</v>
      </c>
      <c r="Z6" s="195" t="s">
        <v>19</v>
      </c>
      <c r="AA6" s="70" t="s">
        <v>21</v>
      </c>
      <c r="AB6" s="236"/>
      <c r="AC6" s="236"/>
      <c r="AD6" s="236"/>
      <c r="AE6" s="70" t="s">
        <v>22</v>
      </c>
      <c r="AF6" s="68"/>
      <c r="AG6" s="231"/>
      <c r="AH6" s="113" t="s">
        <v>19</v>
      </c>
      <c r="AI6" s="58" t="s">
        <v>15</v>
      </c>
      <c r="AJ6" s="195" t="s">
        <v>19</v>
      </c>
      <c r="AK6" s="70" t="s">
        <v>21</v>
      </c>
      <c r="AL6" s="236"/>
      <c r="AM6" s="236"/>
      <c r="AN6" s="236"/>
      <c r="AO6" s="70" t="s">
        <v>22</v>
      </c>
      <c r="AP6" s="68"/>
    </row>
    <row r="7" spans="1:42" ht="28.5" customHeight="1" thickBot="1">
      <c r="B7" s="114" t="str">
        <f>VLOOKUP(B4,tablaequipo,7)</f>
        <v>K2500</v>
      </c>
      <c r="C7" s="231"/>
      <c r="D7" s="113"/>
      <c r="E7" s="58" t="s">
        <v>15</v>
      </c>
      <c r="F7" s="195" t="s">
        <v>19</v>
      </c>
      <c r="G7" s="146" t="s">
        <v>23</v>
      </c>
      <c r="H7" s="234"/>
      <c r="I7" s="234"/>
      <c r="J7" s="234"/>
      <c r="K7" s="234"/>
      <c r="L7" s="235"/>
      <c r="M7" s="231"/>
      <c r="N7" s="113" t="s">
        <v>19</v>
      </c>
      <c r="O7" s="58" t="s">
        <v>15</v>
      </c>
      <c r="P7" s="195" t="s">
        <v>19</v>
      </c>
      <c r="Q7" s="146" t="s">
        <v>23</v>
      </c>
      <c r="R7" s="234"/>
      <c r="S7" s="234"/>
      <c r="T7" s="234"/>
      <c r="U7" s="234"/>
      <c r="V7" s="235"/>
      <c r="W7" s="231"/>
      <c r="X7" s="113" t="s">
        <v>19</v>
      </c>
      <c r="Y7" s="58" t="s">
        <v>15</v>
      </c>
      <c r="Z7" s="195" t="s">
        <v>19</v>
      </c>
      <c r="AA7" s="146" t="s">
        <v>23</v>
      </c>
      <c r="AB7" s="234"/>
      <c r="AC7" s="234"/>
      <c r="AD7" s="234"/>
      <c r="AE7" s="234"/>
      <c r="AF7" s="235"/>
      <c r="AG7" s="231"/>
      <c r="AH7" s="113" t="s">
        <v>19</v>
      </c>
      <c r="AI7" s="58" t="s">
        <v>15</v>
      </c>
      <c r="AJ7" s="195" t="s">
        <v>19</v>
      </c>
      <c r="AK7" s="146" t="s">
        <v>23</v>
      </c>
      <c r="AL7" s="234"/>
      <c r="AM7" s="234"/>
      <c r="AN7" s="234"/>
      <c r="AO7" s="234"/>
      <c r="AP7" s="235"/>
    </row>
    <row r="8" spans="1:42" ht="28.5" customHeight="1" thickBot="1">
      <c r="B8" s="114" t="str">
        <f>VLOOKUP(B4,tablaequipo,8)</f>
        <v>ONT 594</v>
      </c>
      <c r="C8" s="231"/>
      <c r="D8" s="113"/>
      <c r="E8" s="58" t="s">
        <v>15</v>
      </c>
      <c r="F8" s="177" t="s">
        <v>24</v>
      </c>
      <c r="G8" s="70" t="s">
        <v>21</v>
      </c>
      <c r="H8" s="236"/>
      <c r="I8" s="236"/>
      <c r="J8" s="236"/>
      <c r="K8" s="70" t="s">
        <v>22</v>
      </c>
      <c r="L8" s="68"/>
      <c r="M8" s="231"/>
      <c r="N8" s="113" t="s">
        <v>19</v>
      </c>
      <c r="O8" s="58" t="s">
        <v>15</v>
      </c>
      <c r="P8" s="177" t="s">
        <v>24</v>
      </c>
      <c r="Q8" s="70" t="s">
        <v>21</v>
      </c>
      <c r="R8" s="236"/>
      <c r="S8" s="236"/>
      <c r="T8" s="236"/>
      <c r="U8" s="70" t="s">
        <v>22</v>
      </c>
      <c r="V8" s="68"/>
      <c r="W8" s="231"/>
      <c r="X8" s="113" t="s">
        <v>19</v>
      </c>
      <c r="Y8" s="58" t="s">
        <v>15</v>
      </c>
      <c r="Z8" s="177" t="s">
        <v>24</v>
      </c>
      <c r="AA8" s="70" t="s">
        <v>21</v>
      </c>
      <c r="AB8" s="236"/>
      <c r="AC8" s="236"/>
      <c r="AD8" s="236"/>
      <c r="AE8" s="70" t="s">
        <v>22</v>
      </c>
      <c r="AF8" s="68"/>
      <c r="AG8" s="231"/>
      <c r="AH8" s="113" t="s">
        <v>19</v>
      </c>
      <c r="AI8" s="58" t="s">
        <v>15</v>
      </c>
      <c r="AJ8" s="177" t="s">
        <v>24</v>
      </c>
      <c r="AK8" s="70" t="s">
        <v>21</v>
      </c>
      <c r="AL8" s="236"/>
      <c r="AM8" s="236"/>
      <c r="AN8" s="236"/>
      <c r="AO8" s="70" t="s">
        <v>22</v>
      </c>
      <c r="AP8" s="68"/>
    </row>
    <row r="9" spans="1:42" ht="28.5" customHeight="1" thickBot="1">
      <c r="B9" s="121">
        <v>0</v>
      </c>
      <c r="C9" s="231"/>
      <c r="D9" s="113"/>
      <c r="E9" s="58" t="s">
        <v>15</v>
      </c>
      <c r="F9" s="196" t="s">
        <v>16</v>
      </c>
      <c r="G9" s="140" t="s">
        <v>25</v>
      </c>
      <c r="H9" s="237" t="s">
        <v>26</v>
      </c>
      <c r="I9" s="238"/>
      <c r="J9" s="140" t="s">
        <v>27</v>
      </c>
      <c r="K9" s="237" t="s">
        <v>28</v>
      </c>
      <c r="L9" s="239"/>
      <c r="M9" s="231"/>
      <c r="N9" s="113" t="s">
        <v>19</v>
      </c>
      <c r="O9" s="58" t="s">
        <v>15</v>
      </c>
      <c r="P9" s="196" t="s">
        <v>16</v>
      </c>
      <c r="Q9" s="140" t="s">
        <v>25</v>
      </c>
      <c r="R9" s="237" t="s">
        <v>26</v>
      </c>
      <c r="S9" s="238"/>
      <c r="T9" s="140" t="s">
        <v>27</v>
      </c>
      <c r="U9" s="237" t="s">
        <v>28</v>
      </c>
      <c r="V9" s="239"/>
      <c r="W9" s="231"/>
      <c r="X9" s="113" t="s">
        <v>19</v>
      </c>
      <c r="Y9" s="58" t="s">
        <v>15</v>
      </c>
      <c r="Z9" s="196" t="s">
        <v>16</v>
      </c>
      <c r="AA9" s="140" t="s">
        <v>25</v>
      </c>
      <c r="AB9" s="237" t="s">
        <v>26</v>
      </c>
      <c r="AC9" s="238"/>
      <c r="AD9" s="140" t="s">
        <v>27</v>
      </c>
      <c r="AE9" s="237" t="s">
        <v>28</v>
      </c>
      <c r="AF9" s="239"/>
      <c r="AG9" s="231"/>
      <c r="AH9" s="113" t="s">
        <v>19</v>
      </c>
      <c r="AI9" s="58" t="s">
        <v>15</v>
      </c>
      <c r="AJ9" s="196" t="s">
        <v>16</v>
      </c>
      <c r="AK9" s="140" t="s">
        <v>25</v>
      </c>
      <c r="AL9" s="237" t="s">
        <v>26</v>
      </c>
      <c r="AM9" s="238"/>
      <c r="AN9" s="140" t="s">
        <v>27</v>
      </c>
      <c r="AO9" s="237" t="s">
        <v>28</v>
      </c>
      <c r="AP9" s="239"/>
    </row>
    <row r="10" spans="1:42" ht="28.5" customHeight="1" thickBot="1">
      <c r="B10" s="122" t="str">
        <f>VLOOKUP(B9,tablapermiso,3)</f>
        <v>Seleccione Gestion</v>
      </c>
      <c r="C10" s="232"/>
      <c r="D10" s="113"/>
      <c r="E10" s="58" t="s">
        <v>15</v>
      </c>
      <c r="F10" s="196" t="s">
        <v>19</v>
      </c>
      <c r="G10" s="141">
        <v>0</v>
      </c>
      <c r="H10" s="240" t="str">
        <f>VLOOKUP(G10,tablaestado,3)</f>
        <v>Seleccione Estado</v>
      </c>
      <c r="I10" s="240"/>
      <c r="J10" s="240"/>
      <c r="K10" s="240"/>
      <c r="L10" s="241"/>
      <c r="M10" s="232"/>
      <c r="N10" s="113" t="s">
        <v>19</v>
      </c>
      <c r="O10" s="58" t="s">
        <v>15</v>
      </c>
      <c r="P10" s="196" t="s">
        <v>19</v>
      </c>
      <c r="Q10" s="141">
        <v>0</v>
      </c>
      <c r="R10" s="240" t="str">
        <f>VLOOKUP(Q10,tablaestado,3)</f>
        <v>Seleccione Estado</v>
      </c>
      <c r="S10" s="240"/>
      <c r="T10" s="240"/>
      <c r="U10" s="240"/>
      <c r="V10" s="241"/>
      <c r="W10" s="232"/>
      <c r="X10" s="113" t="s">
        <v>19</v>
      </c>
      <c r="Y10" s="58" t="s">
        <v>15</v>
      </c>
      <c r="Z10" s="196" t="s">
        <v>19</v>
      </c>
      <c r="AA10" s="141">
        <v>0</v>
      </c>
      <c r="AB10" s="240" t="str">
        <f>VLOOKUP(AA10,tablaestado,3)</f>
        <v>Seleccione Estado</v>
      </c>
      <c r="AC10" s="240"/>
      <c r="AD10" s="240"/>
      <c r="AE10" s="240"/>
      <c r="AF10" s="241"/>
      <c r="AG10" s="232"/>
      <c r="AH10" s="113" t="s">
        <v>19</v>
      </c>
      <c r="AI10" s="58" t="s">
        <v>15</v>
      </c>
      <c r="AJ10" s="196" t="s">
        <v>19</v>
      </c>
      <c r="AK10" s="141">
        <v>0</v>
      </c>
      <c r="AL10" s="240" t="str">
        <f>VLOOKUP(AK10,tablaestado,3)</f>
        <v>Seleccione Estado</v>
      </c>
      <c r="AM10" s="240"/>
      <c r="AN10" s="240"/>
      <c r="AO10" s="240"/>
      <c r="AP10" s="241"/>
    </row>
    <row r="11" spans="1:42" ht="28.5" customHeight="1" thickBot="1">
      <c r="B11" s="251" t="s">
        <v>1</v>
      </c>
      <c r="C11" s="222" t="s">
        <v>2</v>
      </c>
      <c r="D11" s="112" t="s">
        <v>3</v>
      </c>
      <c r="E11" s="224" t="s">
        <v>4</v>
      </c>
      <c r="F11" s="225"/>
      <c r="G11" s="226" t="s">
        <v>5</v>
      </c>
      <c r="H11" s="227"/>
      <c r="I11" s="227"/>
      <c r="J11" s="227"/>
      <c r="K11" s="227"/>
      <c r="L11" s="228"/>
      <c r="M11" s="222" t="s">
        <v>2</v>
      </c>
      <c r="N11" s="112" t="s">
        <v>3</v>
      </c>
      <c r="O11" s="224" t="s">
        <v>4</v>
      </c>
      <c r="P11" s="225"/>
      <c r="Q11" s="226" t="s">
        <v>6</v>
      </c>
      <c r="R11" s="227"/>
      <c r="S11" s="227"/>
      <c r="T11" s="227"/>
      <c r="U11" s="227"/>
      <c r="V11" s="228"/>
      <c r="W11" s="222" t="s">
        <v>2</v>
      </c>
      <c r="X11" s="112" t="s">
        <v>3</v>
      </c>
      <c r="Y11" s="224" t="s">
        <v>4</v>
      </c>
      <c r="Z11" s="225"/>
      <c r="AA11" s="226" t="s">
        <v>7</v>
      </c>
      <c r="AB11" s="227"/>
      <c r="AC11" s="227"/>
      <c r="AD11" s="227"/>
      <c r="AE11" s="227"/>
      <c r="AF11" s="228"/>
      <c r="AG11" s="222" t="s">
        <v>2</v>
      </c>
      <c r="AH11" s="112" t="s">
        <v>3</v>
      </c>
      <c r="AI11" s="224" t="s">
        <v>4</v>
      </c>
      <c r="AJ11" s="225"/>
      <c r="AK11" s="226" t="s">
        <v>8</v>
      </c>
      <c r="AL11" s="227"/>
      <c r="AM11" s="227"/>
      <c r="AN11" s="227"/>
      <c r="AO11" s="227"/>
      <c r="AP11" s="228"/>
    </row>
    <row r="12" spans="1:42" ht="28.5" customHeight="1" thickBot="1">
      <c r="B12" s="252"/>
      <c r="C12" s="223"/>
      <c r="D12" s="199" t="s">
        <v>9</v>
      </c>
      <c r="E12" s="199" t="s">
        <v>10</v>
      </c>
      <c r="F12" s="112" t="s">
        <v>9</v>
      </c>
      <c r="G12" s="229" t="s">
        <v>11</v>
      </c>
      <c r="H12" s="229"/>
      <c r="I12" s="71" t="s">
        <v>12</v>
      </c>
      <c r="J12" s="147">
        <v>0</v>
      </c>
      <c r="K12" s="71" t="s">
        <v>13</v>
      </c>
      <c r="L12" s="148">
        <v>0</v>
      </c>
      <c r="M12" s="223"/>
      <c r="N12" s="199" t="s">
        <v>9</v>
      </c>
      <c r="O12" s="199" t="s">
        <v>10</v>
      </c>
      <c r="P12" s="112" t="s">
        <v>9</v>
      </c>
      <c r="Q12" s="229" t="s">
        <v>11</v>
      </c>
      <c r="R12" s="229"/>
      <c r="S12" s="71" t="s">
        <v>12</v>
      </c>
      <c r="T12" s="147">
        <v>0</v>
      </c>
      <c r="U12" s="71" t="s">
        <v>13</v>
      </c>
      <c r="V12" s="148">
        <v>0</v>
      </c>
      <c r="W12" s="223"/>
      <c r="X12" s="199" t="s">
        <v>9</v>
      </c>
      <c r="Y12" s="199" t="s">
        <v>10</v>
      </c>
      <c r="Z12" s="112" t="s">
        <v>9</v>
      </c>
      <c r="AA12" s="229" t="s">
        <v>11</v>
      </c>
      <c r="AB12" s="229"/>
      <c r="AC12" s="71" t="s">
        <v>12</v>
      </c>
      <c r="AD12" s="147">
        <v>0</v>
      </c>
      <c r="AE12" s="71" t="s">
        <v>13</v>
      </c>
      <c r="AF12" s="148">
        <v>0</v>
      </c>
      <c r="AG12" s="223"/>
      <c r="AH12" s="199" t="s">
        <v>9</v>
      </c>
      <c r="AI12" s="199" t="s">
        <v>10</v>
      </c>
      <c r="AJ12" s="112" t="s">
        <v>9</v>
      </c>
      <c r="AK12" s="229" t="s">
        <v>11</v>
      </c>
      <c r="AL12" s="229"/>
      <c r="AM12" s="71" t="s">
        <v>12</v>
      </c>
      <c r="AN12" s="147">
        <v>0</v>
      </c>
      <c r="AO12" s="71" t="s">
        <v>13</v>
      </c>
      <c r="AP12" s="148">
        <v>0</v>
      </c>
    </row>
    <row r="13" spans="1:42" ht="28.5" customHeight="1">
      <c r="A13" s="132"/>
      <c r="B13" s="58" t="s">
        <v>29</v>
      </c>
      <c r="C13" s="230"/>
      <c r="D13" s="113"/>
      <c r="E13" s="58" t="s">
        <v>15</v>
      </c>
      <c r="F13" s="195" t="s">
        <v>16</v>
      </c>
      <c r="G13" s="69" t="s">
        <v>17</v>
      </c>
      <c r="H13" s="233"/>
      <c r="I13" s="233"/>
      <c r="J13" s="233"/>
      <c r="K13" s="69" t="s">
        <v>18</v>
      </c>
      <c r="L13" s="72"/>
      <c r="M13" s="230"/>
      <c r="N13" s="113" t="s">
        <v>16</v>
      </c>
      <c r="O13" s="58" t="s">
        <v>15</v>
      </c>
      <c r="P13" s="195" t="s">
        <v>16</v>
      </c>
      <c r="Q13" s="69" t="s">
        <v>17</v>
      </c>
      <c r="R13" s="233"/>
      <c r="S13" s="233"/>
      <c r="T13" s="233"/>
      <c r="U13" s="69" t="s">
        <v>18</v>
      </c>
      <c r="V13" s="72"/>
      <c r="W13" s="230"/>
      <c r="X13" s="113" t="s">
        <v>16</v>
      </c>
      <c r="Y13" s="58" t="s">
        <v>15</v>
      </c>
      <c r="Z13" s="195" t="s">
        <v>16</v>
      </c>
      <c r="AA13" s="69" t="s">
        <v>17</v>
      </c>
      <c r="AB13" s="233"/>
      <c r="AC13" s="233"/>
      <c r="AD13" s="233"/>
      <c r="AE13" s="69" t="s">
        <v>18</v>
      </c>
      <c r="AF13" s="72"/>
      <c r="AG13" s="230"/>
      <c r="AH13" s="113" t="s">
        <v>16</v>
      </c>
      <c r="AI13" s="58" t="s">
        <v>15</v>
      </c>
      <c r="AJ13" s="195" t="s">
        <v>16</v>
      </c>
      <c r="AK13" s="69" t="s">
        <v>17</v>
      </c>
      <c r="AL13" s="233"/>
      <c r="AM13" s="233"/>
      <c r="AN13" s="233"/>
      <c r="AO13" s="69" t="s">
        <v>18</v>
      </c>
      <c r="AP13" s="72"/>
    </row>
    <row r="14" spans="1:42" ht="28.5" customHeight="1">
      <c r="B14" s="114" t="str">
        <f>VLOOKUP(B13,tablaequipo,4)</f>
        <v xml:space="preserve">Camion </v>
      </c>
      <c r="C14" s="231"/>
      <c r="D14" s="113"/>
      <c r="E14" s="58" t="s">
        <v>15</v>
      </c>
      <c r="F14" s="195" t="s">
        <v>19</v>
      </c>
      <c r="G14" s="146" t="s">
        <v>20</v>
      </c>
      <c r="H14" s="234"/>
      <c r="I14" s="234"/>
      <c r="J14" s="234"/>
      <c r="K14" s="234"/>
      <c r="L14" s="235"/>
      <c r="M14" s="231"/>
      <c r="N14" s="113" t="s">
        <v>19</v>
      </c>
      <c r="O14" s="58" t="s">
        <v>15</v>
      </c>
      <c r="P14" s="195" t="s">
        <v>19</v>
      </c>
      <c r="Q14" s="146" t="s">
        <v>20</v>
      </c>
      <c r="R14" s="234"/>
      <c r="S14" s="234"/>
      <c r="T14" s="234"/>
      <c r="U14" s="234"/>
      <c r="V14" s="235"/>
      <c r="W14" s="231"/>
      <c r="X14" s="113" t="s">
        <v>19</v>
      </c>
      <c r="Y14" s="58" t="s">
        <v>15</v>
      </c>
      <c r="Z14" s="195" t="s">
        <v>19</v>
      </c>
      <c r="AA14" s="146" t="s">
        <v>20</v>
      </c>
      <c r="AB14" s="234"/>
      <c r="AC14" s="234"/>
      <c r="AD14" s="234"/>
      <c r="AE14" s="234"/>
      <c r="AF14" s="235"/>
      <c r="AG14" s="231"/>
      <c r="AH14" s="113" t="s">
        <v>19</v>
      </c>
      <c r="AI14" s="58" t="s">
        <v>15</v>
      </c>
      <c r="AJ14" s="195" t="s">
        <v>19</v>
      </c>
      <c r="AK14" s="146" t="s">
        <v>20</v>
      </c>
      <c r="AL14" s="234"/>
      <c r="AM14" s="234"/>
      <c r="AN14" s="234"/>
      <c r="AO14" s="234"/>
      <c r="AP14" s="235"/>
    </row>
    <row r="15" spans="1:42" ht="28.5" customHeight="1">
      <c r="B15" s="114" t="str">
        <f>VLOOKUP(B13,tablaequipo,6)</f>
        <v>HYUNDAI</v>
      </c>
      <c r="C15" s="231"/>
      <c r="D15" s="113"/>
      <c r="E15" s="58" t="s">
        <v>15</v>
      </c>
      <c r="F15" s="195" t="s">
        <v>19</v>
      </c>
      <c r="G15" s="70" t="s">
        <v>21</v>
      </c>
      <c r="H15" s="236"/>
      <c r="I15" s="236"/>
      <c r="J15" s="236"/>
      <c r="K15" s="70" t="s">
        <v>22</v>
      </c>
      <c r="L15" s="68"/>
      <c r="M15" s="231"/>
      <c r="N15" s="113" t="s">
        <v>19</v>
      </c>
      <c r="O15" s="58" t="s">
        <v>15</v>
      </c>
      <c r="P15" s="195" t="s">
        <v>19</v>
      </c>
      <c r="Q15" s="70" t="s">
        <v>21</v>
      </c>
      <c r="R15" s="236"/>
      <c r="S15" s="236"/>
      <c r="T15" s="236"/>
      <c r="U15" s="70" t="s">
        <v>22</v>
      </c>
      <c r="V15" s="68"/>
      <c r="W15" s="231"/>
      <c r="X15" s="113" t="s">
        <v>19</v>
      </c>
      <c r="Y15" s="58" t="s">
        <v>15</v>
      </c>
      <c r="Z15" s="195" t="s">
        <v>19</v>
      </c>
      <c r="AA15" s="70" t="s">
        <v>21</v>
      </c>
      <c r="AB15" s="236"/>
      <c r="AC15" s="236"/>
      <c r="AD15" s="236"/>
      <c r="AE15" s="70" t="s">
        <v>22</v>
      </c>
      <c r="AF15" s="68"/>
      <c r="AG15" s="231"/>
      <c r="AH15" s="113" t="s">
        <v>19</v>
      </c>
      <c r="AI15" s="58" t="s">
        <v>15</v>
      </c>
      <c r="AJ15" s="195" t="s">
        <v>19</v>
      </c>
      <c r="AK15" s="70" t="s">
        <v>21</v>
      </c>
      <c r="AL15" s="236"/>
      <c r="AM15" s="236"/>
      <c r="AN15" s="236"/>
      <c r="AO15" s="70" t="s">
        <v>22</v>
      </c>
      <c r="AP15" s="68"/>
    </row>
    <row r="16" spans="1:42" ht="28.5" customHeight="1" thickBot="1">
      <c r="B16" s="114" t="str">
        <f>VLOOKUP(B13,tablaequipo,7)</f>
        <v xml:space="preserve">HD78 </v>
      </c>
      <c r="C16" s="231"/>
      <c r="D16" s="113"/>
      <c r="E16" s="58" t="s">
        <v>15</v>
      </c>
      <c r="F16" s="195" t="s">
        <v>19</v>
      </c>
      <c r="G16" s="146" t="s">
        <v>23</v>
      </c>
      <c r="H16" s="234"/>
      <c r="I16" s="234"/>
      <c r="J16" s="234"/>
      <c r="K16" s="234"/>
      <c r="L16" s="235"/>
      <c r="M16" s="231"/>
      <c r="N16" s="113" t="s">
        <v>19</v>
      </c>
      <c r="O16" s="58" t="s">
        <v>15</v>
      </c>
      <c r="P16" s="195" t="s">
        <v>19</v>
      </c>
      <c r="Q16" s="146" t="s">
        <v>23</v>
      </c>
      <c r="R16" s="234"/>
      <c r="S16" s="234"/>
      <c r="T16" s="234"/>
      <c r="U16" s="234"/>
      <c r="V16" s="235"/>
      <c r="W16" s="231"/>
      <c r="X16" s="113" t="s">
        <v>19</v>
      </c>
      <c r="Y16" s="58" t="s">
        <v>15</v>
      </c>
      <c r="Z16" s="195" t="s">
        <v>19</v>
      </c>
      <c r="AA16" s="146" t="s">
        <v>23</v>
      </c>
      <c r="AB16" s="234"/>
      <c r="AC16" s="234"/>
      <c r="AD16" s="234"/>
      <c r="AE16" s="234"/>
      <c r="AF16" s="235"/>
      <c r="AG16" s="231"/>
      <c r="AH16" s="113" t="s">
        <v>19</v>
      </c>
      <c r="AI16" s="58" t="s">
        <v>15</v>
      </c>
      <c r="AJ16" s="195" t="s">
        <v>19</v>
      </c>
      <c r="AK16" s="146" t="s">
        <v>23</v>
      </c>
      <c r="AL16" s="234"/>
      <c r="AM16" s="234"/>
      <c r="AN16" s="234"/>
      <c r="AO16" s="234"/>
      <c r="AP16" s="235"/>
    </row>
    <row r="17" spans="1:42" ht="28.5" customHeight="1" thickBot="1">
      <c r="B17" s="114" t="str">
        <f>VLOOKUP(B13,tablaequipo,8)</f>
        <v>JLM 355</v>
      </c>
      <c r="C17" s="231"/>
      <c r="D17" s="113"/>
      <c r="E17" s="58" t="s">
        <v>15</v>
      </c>
      <c r="F17" s="177" t="s">
        <v>24</v>
      </c>
      <c r="G17" s="70" t="s">
        <v>21</v>
      </c>
      <c r="H17" s="236"/>
      <c r="I17" s="236"/>
      <c r="J17" s="236"/>
      <c r="K17" s="70" t="s">
        <v>22</v>
      </c>
      <c r="L17" s="68"/>
      <c r="M17" s="231"/>
      <c r="N17" s="113" t="s">
        <v>19</v>
      </c>
      <c r="O17" s="58" t="s">
        <v>15</v>
      </c>
      <c r="P17" s="177" t="s">
        <v>24</v>
      </c>
      <c r="Q17" s="70" t="s">
        <v>21</v>
      </c>
      <c r="R17" s="236"/>
      <c r="S17" s="236"/>
      <c r="T17" s="236"/>
      <c r="U17" s="70" t="s">
        <v>22</v>
      </c>
      <c r="V17" s="68"/>
      <c r="W17" s="231"/>
      <c r="X17" s="113" t="s">
        <v>19</v>
      </c>
      <c r="Y17" s="58" t="s">
        <v>15</v>
      </c>
      <c r="Z17" s="177" t="s">
        <v>24</v>
      </c>
      <c r="AA17" s="70" t="s">
        <v>21</v>
      </c>
      <c r="AB17" s="236"/>
      <c r="AC17" s="236"/>
      <c r="AD17" s="236"/>
      <c r="AE17" s="70" t="s">
        <v>22</v>
      </c>
      <c r="AF17" s="68"/>
      <c r="AG17" s="231"/>
      <c r="AH17" s="113" t="s">
        <v>19</v>
      </c>
      <c r="AI17" s="58" t="s">
        <v>15</v>
      </c>
      <c r="AJ17" s="177" t="s">
        <v>24</v>
      </c>
      <c r="AK17" s="70" t="s">
        <v>21</v>
      </c>
      <c r="AL17" s="236"/>
      <c r="AM17" s="236"/>
      <c r="AN17" s="236"/>
      <c r="AO17" s="70" t="s">
        <v>22</v>
      </c>
      <c r="AP17" s="68"/>
    </row>
    <row r="18" spans="1:42" ht="28.5" customHeight="1" thickBot="1">
      <c r="B18" s="121">
        <v>0</v>
      </c>
      <c r="C18" s="231"/>
      <c r="D18" s="113"/>
      <c r="E18" s="58" t="s">
        <v>15</v>
      </c>
      <c r="F18" s="196" t="s">
        <v>16</v>
      </c>
      <c r="G18" s="140" t="s">
        <v>25</v>
      </c>
      <c r="H18" s="237" t="s">
        <v>26</v>
      </c>
      <c r="I18" s="238"/>
      <c r="J18" s="140" t="s">
        <v>27</v>
      </c>
      <c r="K18" s="237" t="s">
        <v>28</v>
      </c>
      <c r="L18" s="239"/>
      <c r="M18" s="231"/>
      <c r="N18" s="113" t="s">
        <v>19</v>
      </c>
      <c r="O18" s="58" t="s">
        <v>15</v>
      </c>
      <c r="P18" s="196" t="s">
        <v>16</v>
      </c>
      <c r="Q18" s="140" t="s">
        <v>25</v>
      </c>
      <c r="R18" s="237" t="s">
        <v>26</v>
      </c>
      <c r="S18" s="238"/>
      <c r="T18" s="140" t="s">
        <v>27</v>
      </c>
      <c r="U18" s="237" t="s">
        <v>28</v>
      </c>
      <c r="V18" s="239"/>
      <c r="W18" s="231"/>
      <c r="X18" s="113" t="s">
        <v>19</v>
      </c>
      <c r="Y18" s="58" t="s">
        <v>15</v>
      </c>
      <c r="Z18" s="196" t="s">
        <v>16</v>
      </c>
      <c r="AA18" s="140" t="s">
        <v>25</v>
      </c>
      <c r="AB18" s="237" t="s">
        <v>26</v>
      </c>
      <c r="AC18" s="238"/>
      <c r="AD18" s="140" t="s">
        <v>27</v>
      </c>
      <c r="AE18" s="237" t="s">
        <v>28</v>
      </c>
      <c r="AF18" s="239"/>
      <c r="AG18" s="231"/>
      <c r="AH18" s="113" t="s">
        <v>19</v>
      </c>
      <c r="AI18" s="58" t="s">
        <v>15</v>
      </c>
      <c r="AJ18" s="196" t="s">
        <v>16</v>
      </c>
      <c r="AK18" s="140" t="s">
        <v>25</v>
      </c>
      <c r="AL18" s="237" t="s">
        <v>26</v>
      </c>
      <c r="AM18" s="238"/>
      <c r="AN18" s="140" t="s">
        <v>27</v>
      </c>
      <c r="AO18" s="237" t="s">
        <v>28</v>
      </c>
      <c r="AP18" s="239"/>
    </row>
    <row r="19" spans="1:42" ht="28.5" customHeight="1" thickBot="1">
      <c r="B19" s="122" t="str">
        <f>VLOOKUP(B18,tablapermiso,3)</f>
        <v>Seleccione Gestion</v>
      </c>
      <c r="C19" s="232"/>
      <c r="D19" s="113"/>
      <c r="E19" s="58" t="s">
        <v>15</v>
      </c>
      <c r="F19" s="196" t="s">
        <v>19</v>
      </c>
      <c r="G19" s="141">
        <v>0</v>
      </c>
      <c r="H19" s="240" t="str">
        <f>VLOOKUP(G19,tablaestado,3)</f>
        <v>Seleccione Estado</v>
      </c>
      <c r="I19" s="240"/>
      <c r="J19" s="240"/>
      <c r="K19" s="240"/>
      <c r="L19" s="241"/>
      <c r="M19" s="232"/>
      <c r="N19" s="113" t="s">
        <v>19</v>
      </c>
      <c r="O19" s="58" t="s">
        <v>15</v>
      </c>
      <c r="P19" s="196" t="s">
        <v>19</v>
      </c>
      <c r="Q19" s="141">
        <v>0</v>
      </c>
      <c r="R19" s="240" t="str">
        <f>VLOOKUP(Q19,tablaestado,3)</f>
        <v>Seleccione Estado</v>
      </c>
      <c r="S19" s="240"/>
      <c r="T19" s="240"/>
      <c r="U19" s="240"/>
      <c r="V19" s="241"/>
      <c r="W19" s="232"/>
      <c r="X19" s="113" t="s">
        <v>19</v>
      </c>
      <c r="Y19" s="58" t="s">
        <v>15</v>
      </c>
      <c r="Z19" s="196" t="s">
        <v>19</v>
      </c>
      <c r="AA19" s="141">
        <v>0</v>
      </c>
      <c r="AB19" s="240" t="str">
        <f>VLOOKUP(AA19,tablaestado,3)</f>
        <v>Seleccione Estado</v>
      </c>
      <c r="AC19" s="240"/>
      <c r="AD19" s="240"/>
      <c r="AE19" s="240"/>
      <c r="AF19" s="241"/>
      <c r="AG19" s="232"/>
      <c r="AH19" s="113" t="s">
        <v>19</v>
      </c>
      <c r="AI19" s="58" t="s">
        <v>15</v>
      </c>
      <c r="AJ19" s="196" t="s">
        <v>19</v>
      </c>
      <c r="AK19" s="141">
        <v>0</v>
      </c>
      <c r="AL19" s="240" t="str">
        <f>VLOOKUP(AK19,tablaestado,3)</f>
        <v>Seleccione Estado</v>
      </c>
      <c r="AM19" s="240"/>
      <c r="AN19" s="240"/>
      <c r="AO19" s="240"/>
      <c r="AP19" s="241"/>
    </row>
    <row r="20" spans="1:42" ht="28.5" customHeight="1" thickBot="1">
      <c r="B20" s="251" t="s">
        <v>1</v>
      </c>
      <c r="C20" s="222" t="s">
        <v>2</v>
      </c>
      <c r="D20" s="112" t="s">
        <v>3</v>
      </c>
      <c r="E20" s="224" t="s">
        <v>4</v>
      </c>
      <c r="F20" s="225"/>
      <c r="G20" s="226" t="s">
        <v>5</v>
      </c>
      <c r="H20" s="227"/>
      <c r="I20" s="227"/>
      <c r="J20" s="227"/>
      <c r="K20" s="227"/>
      <c r="L20" s="228"/>
      <c r="M20" s="222" t="s">
        <v>2</v>
      </c>
      <c r="N20" s="112" t="s">
        <v>3</v>
      </c>
      <c r="O20" s="224" t="s">
        <v>4</v>
      </c>
      <c r="P20" s="225"/>
      <c r="Q20" s="226" t="s">
        <v>6</v>
      </c>
      <c r="R20" s="227"/>
      <c r="S20" s="227"/>
      <c r="T20" s="227"/>
      <c r="U20" s="227"/>
      <c r="V20" s="228"/>
      <c r="W20" s="222" t="s">
        <v>2</v>
      </c>
      <c r="X20" s="112" t="s">
        <v>3</v>
      </c>
      <c r="Y20" s="224" t="s">
        <v>4</v>
      </c>
      <c r="Z20" s="225"/>
      <c r="AA20" s="226" t="s">
        <v>7</v>
      </c>
      <c r="AB20" s="227"/>
      <c r="AC20" s="227"/>
      <c r="AD20" s="227"/>
      <c r="AE20" s="227"/>
      <c r="AF20" s="228"/>
      <c r="AG20" s="222" t="s">
        <v>2</v>
      </c>
      <c r="AH20" s="112" t="s">
        <v>3</v>
      </c>
      <c r="AI20" s="224" t="s">
        <v>4</v>
      </c>
      <c r="AJ20" s="225"/>
      <c r="AK20" s="226" t="s">
        <v>8</v>
      </c>
      <c r="AL20" s="227"/>
      <c r="AM20" s="227"/>
      <c r="AN20" s="227"/>
      <c r="AO20" s="227"/>
      <c r="AP20" s="228"/>
    </row>
    <row r="21" spans="1:42" ht="28.5" customHeight="1" thickBot="1">
      <c r="B21" s="252"/>
      <c r="C21" s="223"/>
      <c r="D21" s="199" t="s">
        <v>9</v>
      </c>
      <c r="E21" s="199" t="s">
        <v>10</v>
      </c>
      <c r="F21" s="112" t="s">
        <v>9</v>
      </c>
      <c r="G21" s="229" t="s">
        <v>11</v>
      </c>
      <c r="H21" s="229"/>
      <c r="I21" s="71" t="s">
        <v>12</v>
      </c>
      <c r="J21" s="147">
        <v>0</v>
      </c>
      <c r="K21" s="71" t="s">
        <v>13</v>
      </c>
      <c r="L21" s="148">
        <v>0</v>
      </c>
      <c r="M21" s="223"/>
      <c r="N21" s="199" t="s">
        <v>9</v>
      </c>
      <c r="O21" s="199" t="s">
        <v>10</v>
      </c>
      <c r="P21" s="112" t="s">
        <v>9</v>
      </c>
      <c r="Q21" s="229" t="s">
        <v>11</v>
      </c>
      <c r="R21" s="229"/>
      <c r="S21" s="71" t="s">
        <v>12</v>
      </c>
      <c r="T21" s="147">
        <v>0</v>
      </c>
      <c r="U21" s="71" t="s">
        <v>13</v>
      </c>
      <c r="V21" s="148">
        <v>0</v>
      </c>
      <c r="W21" s="223"/>
      <c r="X21" s="199" t="s">
        <v>9</v>
      </c>
      <c r="Y21" s="199" t="s">
        <v>10</v>
      </c>
      <c r="Z21" s="112" t="s">
        <v>9</v>
      </c>
      <c r="AA21" s="229" t="s">
        <v>11</v>
      </c>
      <c r="AB21" s="229"/>
      <c r="AC21" s="71" t="s">
        <v>12</v>
      </c>
      <c r="AD21" s="147">
        <v>0</v>
      </c>
      <c r="AE21" s="71" t="s">
        <v>13</v>
      </c>
      <c r="AF21" s="148">
        <v>0</v>
      </c>
      <c r="AG21" s="223"/>
      <c r="AH21" s="199" t="s">
        <v>9</v>
      </c>
      <c r="AI21" s="199" t="s">
        <v>10</v>
      </c>
      <c r="AJ21" s="112" t="s">
        <v>9</v>
      </c>
      <c r="AK21" s="229" t="s">
        <v>11</v>
      </c>
      <c r="AL21" s="229"/>
      <c r="AM21" s="71" t="s">
        <v>12</v>
      </c>
      <c r="AN21" s="147">
        <v>0</v>
      </c>
      <c r="AO21" s="71" t="s">
        <v>13</v>
      </c>
      <c r="AP21" s="148">
        <v>0</v>
      </c>
    </row>
    <row r="22" spans="1:42" ht="28.5" customHeight="1">
      <c r="A22" s="132"/>
      <c r="B22" s="58" t="s">
        <v>30</v>
      </c>
      <c r="C22" s="230"/>
      <c r="D22" s="113" t="s">
        <v>16</v>
      </c>
      <c r="E22" s="58" t="s">
        <v>15</v>
      </c>
      <c r="F22" s="195" t="s">
        <v>16</v>
      </c>
      <c r="G22" s="69" t="s">
        <v>17</v>
      </c>
      <c r="H22" s="233"/>
      <c r="I22" s="233"/>
      <c r="J22" s="233"/>
      <c r="K22" s="69" t="s">
        <v>18</v>
      </c>
      <c r="L22" s="72"/>
      <c r="M22" s="230"/>
      <c r="N22" s="113" t="s">
        <v>16</v>
      </c>
      <c r="O22" s="58" t="s">
        <v>15</v>
      </c>
      <c r="P22" s="195" t="s">
        <v>16</v>
      </c>
      <c r="Q22" s="69" t="s">
        <v>17</v>
      </c>
      <c r="R22" s="233"/>
      <c r="S22" s="233"/>
      <c r="T22" s="233"/>
      <c r="U22" s="69" t="s">
        <v>18</v>
      </c>
      <c r="V22" s="72"/>
      <c r="W22" s="230"/>
      <c r="X22" s="113" t="s">
        <v>16</v>
      </c>
      <c r="Y22" s="58" t="s">
        <v>15</v>
      </c>
      <c r="Z22" s="195" t="s">
        <v>16</v>
      </c>
      <c r="AA22" s="69" t="s">
        <v>17</v>
      </c>
      <c r="AB22" s="233"/>
      <c r="AC22" s="233"/>
      <c r="AD22" s="233"/>
      <c r="AE22" s="69" t="s">
        <v>18</v>
      </c>
      <c r="AF22" s="72"/>
      <c r="AG22" s="230"/>
      <c r="AH22" s="113" t="s">
        <v>16</v>
      </c>
      <c r="AI22" s="58" t="s">
        <v>15</v>
      </c>
      <c r="AJ22" s="195" t="s">
        <v>16</v>
      </c>
      <c r="AK22" s="69" t="s">
        <v>17</v>
      </c>
      <c r="AL22" s="233"/>
      <c r="AM22" s="233"/>
      <c r="AN22" s="233"/>
      <c r="AO22" s="69" t="s">
        <v>18</v>
      </c>
      <c r="AP22" s="72"/>
    </row>
    <row r="23" spans="1:42" ht="28.5" customHeight="1">
      <c r="B23" s="114" t="str">
        <f>VLOOKUP(B22,tablaequipo,4)</f>
        <v xml:space="preserve">Camion </v>
      </c>
      <c r="C23" s="231"/>
      <c r="D23" s="113" t="s">
        <v>19</v>
      </c>
      <c r="E23" s="58" t="s">
        <v>15</v>
      </c>
      <c r="F23" s="195" t="s">
        <v>19</v>
      </c>
      <c r="G23" s="146" t="s">
        <v>20</v>
      </c>
      <c r="H23" s="234"/>
      <c r="I23" s="234"/>
      <c r="J23" s="234"/>
      <c r="K23" s="234"/>
      <c r="L23" s="235"/>
      <c r="M23" s="231"/>
      <c r="N23" s="113" t="s">
        <v>19</v>
      </c>
      <c r="O23" s="58" t="s">
        <v>15</v>
      </c>
      <c r="P23" s="195" t="s">
        <v>19</v>
      </c>
      <c r="Q23" s="146" t="s">
        <v>20</v>
      </c>
      <c r="R23" s="234"/>
      <c r="S23" s="234"/>
      <c r="T23" s="234"/>
      <c r="U23" s="234"/>
      <c r="V23" s="235"/>
      <c r="W23" s="231"/>
      <c r="X23" s="113" t="s">
        <v>19</v>
      </c>
      <c r="Y23" s="58" t="s">
        <v>15</v>
      </c>
      <c r="Z23" s="195" t="s">
        <v>19</v>
      </c>
      <c r="AA23" s="146" t="s">
        <v>20</v>
      </c>
      <c r="AB23" s="234"/>
      <c r="AC23" s="234"/>
      <c r="AD23" s="234"/>
      <c r="AE23" s="234"/>
      <c r="AF23" s="235"/>
      <c r="AG23" s="231"/>
      <c r="AH23" s="113" t="s">
        <v>19</v>
      </c>
      <c r="AI23" s="58" t="s">
        <v>15</v>
      </c>
      <c r="AJ23" s="195" t="s">
        <v>19</v>
      </c>
      <c r="AK23" s="146" t="s">
        <v>20</v>
      </c>
      <c r="AL23" s="234"/>
      <c r="AM23" s="234"/>
      <c r="AN23" s="234"/>
      <c r="AO23" s="234"/>
      <c r="AP23" s="235"/>
    </row>
    <row r="24" spans="1:42" ht="28.5" customHeight="1">
      <c r="B24" s="114" t="str">
        <f>VLOOKUP(B22,tablaequipo,6)</f>
        <v>VOLKSWAGEN</v>
      </c>
      <c r="C24" s="231"/>
      <c r="D24" s="113" t="s">
        <v>19</v>
      </c>
      <c r="E24" s="58" t="s">
        <v>15</v>
      </c>
      <c r="F24" s="195" t="s">
        <v>19</v>
      </c>
      <c r="G24" s="70" t="s">
        <v>21</v>
      </c>
      <c r="H24" s="236"/>
      <c r="I24" s="236"/>
      <c r="J24" s="236"/>
      <c r="K24" s="70" t="s">
        <v>22</v>
      </c>
      <c r="L24" s="68"/>
      <c r="M24" s="231"/>
      <c r="N24" s="113" t="s">
        <v>19</v>
      </c>
      <c r="O24" s="58" t="s">
        <v>15</v>
      </c>
      <c r="P24" s="195" t="s">
        <v>19</v>
      </c>
      <c r="Q24" s="70" t="s">
        <v>21</v>
      </c>
      <c r="R24" s="236"/>
      <c r="S24" s="236"/>
      <c r="T24" s="236"/>
      <c r="U24" s="70" t="s">
        <v>22</v>
      </c>
      <c r="V24" s="68"/>
      <c r="W24" s="231"/>
      <c r="X24" s="113" t="s">
        <v>19</v>
      </c>
      <c r="Y24" s="58" t="s">
        <v>15</v>
      </c>
      <c r="Z24" s="195" t="s">
        <v>19</v>
      </c>
      <c r="AA24" s="70" t="s">
        <v>21</v>
      </c>
      <c r="AB24" s="236"/>
      <c r="AC24" s="236"/>
      <c r="AD24" s="236"/>
      <c r="AE24" s="70" t="s">
        <v>22</v>
      </c>
      <c r="AF24" s="68"/>
      <c r="AG24" s="231"/>
      <c r="AH24" s="113" t="s">
        <v>19</v>
      </c>
      <c r="AI24" s="58" t="s">
        <v>15</v>
      </c>
      <c r="AJ24" s="195" t="s">
        <v>19</v>
      </c>
      <c r="AK24" s="70" t="s">
        <v>21</v>
      </c>
      <c r="AL24" s="236"/>
      <c r="AM24" s="236"/>
      <c r="AN24" s="236"/>
      <c r="AO24" s="70" t="s">
        <v>22</v>
      </c>
      <c r="AP24" s="68"/>
    </row>
    <row r="25" spans="1:42" ht="28.5" customHeight="1" thickBot="1">
      <c r="B25" s="114">
        <f>VLOOKUP(B22,tablaequipo,7)</f>
        <v>9150</v>
      </c>
      <c r="C25" s="231"/>
      <c r="D25" s="113" t="s">
        <v>19</v>
      </c>
      <c r="E25" s="58" t="s">
        <v>15</v>
      </c>
      <c r="F25" s="195" t="s">
        <v>19</v>
      </c>
      <c r="G25" s="146" t="s">
        <v>23</v>
      </c>
      <c r="H25" s="234"/>
      <c r="I25" s="234"/>
      <c r="J25" s="234"/>
      <c r="K25" s="234"/>
      <c r="L25" s="235"/>
      <c r="M25" s="231"/>
      <c r="N25" s="113" t="s">
        <v>19</v>
      </c>
      <c r="O25" s="58" t="s">
        <v>15</v>
      </c>
      <c r="P25" s="195" t="s">
        <v>19</v>
      </c>
      <c r="Q25" s="146" t="s">
        <v>23</v>
      </c>
      <c r="R25" s="234"/>
      <c r="S25" s="234"/>
      <c r="T25" s="234"/>
      <c r="U25" s="234"/>
      <c r="V25" s="235"/>
      <c r="W25" s="231"/>
      <c r="X25" s="113" t="s">
        <v>19</v>
      </c>
      <c r="Y25" s="58" t="s">
        <v>15</v>
      </c>
      <c r="Z25" s="195" t="s">
        <v>19</v>
      </c>
      <c r="AA25" s="146" t="s">
        <v>23</v>
      </c>
      <c r="AB25" s="234"/>
      <c r="AC25" s="234"/>
      <c r="AD25" s="234"/>
      <c r="AE25" s="234"/>
      <c r="AF25" s="235"/>
      <c r="AG25" s="231"/>
      <c r="AH25" s="113" t="s">
        <v>19</v>
      </c>
      <c r="AI25" s="58" t="s">
        <v>15</v>
      </c>
      <c r="AJ25" s="195" t="s">
        <v>19</v>
      </c>
      <c r="AK25" s="146" t="s">
        <v>23</v>
      </c>
      <c r="AL25" s="234"/>
      <c r="AM25" s="234"/>
      <c r="AN25" s="234"/>
      <c r="AO25" s="234"/>
      <c r="AP25" s="235"/>
    </row>
    <row r="26" spans="1:42" ht="28.5" customHeight="1" thickBot="1">
      <c r="B26" s="114" t="str">
        <f>VLOOKUP(B22,tablaequipo,8)</f>
        <v>MRF 907</v>
      </c>
      <c r="C26" s="231"/>
      <c r="D26" s="113" t="s">
        <v>19</v>
      </c>
      <c r="E26" s="58" t="s">
        <v>15</v>
      </c>
      <c r="F26" s="177" t="s">
        <v>24</v>
      </c>
      <c r="G26" s="70" t="s">
        <v>21</v>
      </c>
      <c r="H26" s="236"/>
      <c r="I26" s="236"/>
      <c r="J26" s="236"/>
      <c r="K26" s="70" t="s">
        <v>22</v>
      </c>
      <c r="L26" s="68"/>
      <c r="M26" s="231"/>
      <c r="N26" s="113" t="s">
        <v>19</v>
      </c>
      <c r="O26" s="58" t="s">
        <v>15</v>
      </c>
      <c r="P26" s="177" t="s">
        <v>24</v>
      </c>
      <c r="Q26" s="70" t="s">
        <v>21</v>
      </c>
      <c r="R26" s="236"/>
      <c r="S26" s="236"/>
      <c r="T26" s="236"/>
      <c r="U26" s="70" t="s">
        <v>22</v>
      </c>
      <c r="V26" s="68"/>
      <c r="W26" s="231"/>
      <c r="X26" s="113" t="s">
        <v>19</v>
      </c>
      <c r="Y26" s="58" t="s">
        <v>15</v>
      </c>
      <c r="Z26" s="177" t="s">
        <v>24</v>
      </c>
      <c r="AA26" s="70" t="s">
        <v>21</v>
      </c>
      <c r="AB26" s="236"/>
      <c r="AC26" s="236"/>
      <c r="AD26" s="236"/>
      <c r="AE26" s="70" t="s">
        <v>22</v>
      </c>
      <c r="AF26" s="68"/>
      <c r="AG26" s="231"/>
      <c r="AH26" s="113" t="s">
        <v>19</v>
      </c>
      <c r="AI26" s="58" t="s">
        <v>15</v>
      </c>
      <c r="AJ26" s="177" t="s">
        <v>24</v>
      </c>
      <c r="AK26" s="70" t="s">
        <v>21</v>
      </c>
      <c r="AL26" s="236"/>
      <c r="AM26" s="236"/>
      <c r="AN26" s="236"/>
      <c r="AO26" s="70" t="s">
        <v>22</v>
      </c>
      <c r="AP26" s="68"/>
    </row>
    <row r="27" spans="1:42" ht="28.5" customHeight="1" thickBot="1">
      <c r="B27" s="121">
        <v>0</v>
      </c>
      <c r="C27" s="231"/>
      <c r="D27" s="113" t="s">
        <v>19</v>
      </c>
      <c r="E27" s="58" t="s">
        <v>15</v>
      </c>
      <c r="F27" s="196" t="s">
        <v>16</v>
      </c>
      <c r="G27" s="140" t="s">
        <v>25</v>
      </c>
      <c r="H27" s="237" t="s">
        <v>26</v>
      </c>
      <c r="I27" s="238"/>
      <c r="J27" s="140" t="s">
        <v>27</v>
      </c>
      <c r="K27" s="237" t="s">
        <v>28</v>
      </c>
      <c r="L27" s="239"/>
      <c r="M27" s="231"/>
      <c r="N27" s="113" t="s">
        <v>19</v>
      </c>
      <c r="O27" s="58" t="s">
        <v>15</v>
      </c>
      <c r="P27" s="196" t="s">
        <v>16</v>
      </c>
      <c r="Q27" s="140" t="s">
        <v>25</v>
      </c>
      <c r="R27" s="237" t="s">
        <v>26</v>
      </c>
      <c r="S27" s="238"/>
      <c r="T27" s="140" t="s">
        <v>27</v>
      </c>
      <c r="U27" s="237" t="s">
        <v>28</v>
      </c>
      <c r="V27" s="239"/>
      <c r="W27" s="231"/>
      <c r="X27" s="113" t="s">
        <v>19</v>
      </c>
      <c r="Y27" s="58" t="s">
        <v>15</v>
      </c>
      <c r="Z27" s="196" t="s">
        <v>16</v>
      </c>
      <c r="AA27" s="140" t="s">
        <v>25</v>
      </c>
      <c r="AB27" s="237" t="s">
        <v>26</v>
      </c>
      <c r="AC27" s="238"/>
      <c r="AD27" s="140" t="s">
        <v>27</v>
      </c>
      <c r="AE27" s="237" t="s">
        <v>28</v>
      </c>
      <c r="AF27" s="239"/>
      <c r="AG27" s="231"/>
      <c r="AH27" s="113" t="s">
        <v>19</v>
      </c>
      <c r="AI27" s="58" t="s">
        <v>15</v>
      </c>
      <c r="AJ27" s="196" t="s">
        <v>16</v>
      </c>
      <c r="AK27" s="140" t="s">
        <v>25</v>
      </c>
      <c r="AL27" s="237" t="s">
        <v>26</v>
      </c>
      <c r="AM27" s="238"/>
      <c r="AN27" s="140" t="s">
        <v>27</v>
      </c>
      <c r="AO27" s="237" t="s">
        <v>28</v>
      </c>
      <c r="AP27" s="239"/>
    </row>
    <row r="28" spans="1:42" ht="28.5" customHeight="1" thickBot="1">
      <c r="B28" s="122" t="str">
        <f>VLOOKUP(B27,tablapermiso,3)</f>
        <v>Seleccione Gestion</v>
      </c>
      <c r="C28" s="232"/>
      <c r="D28" s="113" t="s">
        <v>19</v>
      </c>
      <c r="E28" s="58" t="s">
        <v>15</v>
      </c>
      <c r="F28" s="196" t="s">
        <v>19</v>
      </c>
      <c r="G28" s="141">
        <v>0</v>
      </c>
      <c r="H28" s="240" t="str">
        <f>VLOOKUP(G28,tablaestado,3)</f>
        <v>Seleccione Estado</v>
      </c>
      <c r="I28" s="240"/>
      <c r="J28" s="240"/>
      <c r="K28" s="240"/>
      <c r="L28" s="241"/>
      <c r="M28" s="232"/>
      <c r="N28" s="113" t="s">
        <v>19</v>
      </c>
      <c r="O28" s="58" t="s">
        <v>15</v>
      </c>
      <c r="P28" s="196" t="s">
        <v>19</v>
      </c>
      <c r="Q28" s="141">
        <v>0</v>
      </c>
      <c r="R28" s="240" t="str">
        <f>VLOOKUP(Q28,tablaestado,3)</f>
        <v>Seleccione Estado</v>
      </c>
      <c r="S28" s="240"/>
      <c r="T28" s="240"/>
      <c r="U28" s="240"/>
      <c r="V28" s="241"/>
      <c r="W28" s="232"/>
      <c r="X28" s="113" t="s">
        <v>19</v>
      </c>
      <c r="Y28" s="58" t="s">
        <v>15</v>
      </c>
      <c r="Z28" s="196" t="s">
        <v>19</v>
      </c>
      <c r="AA28" s="141">
        <v>0</v>
      </c>
      <c r="AB28" s="240" t="str">
        <f>VLOOKUP(AA28,tablaestado,3)</f>
        <v>Seleccione Estado</v>
      </c>
      <c r="AC28" s="240"/>
      <c r="AD28" s="240"/>
      <c r="AE28" s="240"/>
      <c r="AF28" s="241"/>
      <c r="AG28" s="232"/>
      <c r="AH28" s="113" t="s">
        <v>19</v>
      </c>
      <c r="AI28" s="58" t="s">
        <v>15</v>
      </c>
      <c r="AJ28" s="196" t="s">
        <v>19</v>
      </c>
      <c r="AK28" s="141">
        <v>0</v>
      </c>
      <c r="AL28" s="240" t="str">
        <f>VLOOKUP(AK28,tablaestado,3)</f>
        <v>Seleccione Estado</v>
      </c>
      <c r="AM28" s="240"/>
      <c r="AN28" s="240"/>
      <c r="AO28" s="240"/>
      <c r="AP28" s="241"/>
    </row>
    <row r="29" spans="1:42" ht="28.5" customHeight="1" thickBot="1">
      <c r="B29" s="251" t="s">
        <v>1</v>
      </c>
      <c r="C29" s="222" t="s">
        <v>2</v>
      </c>
      <c r="D29" s="112" t="s">
        <v>3</v>
      </c>
      <c r="E29" s="224" t="s">
        <v>4</v>
      </c>
      <c r="F29" s="225"/>
      <c r="G29" s="226" t="s">
        <v>5</v>
      </c>
      <c r="H29" s="227"/>
      <c r="I29" s="227"/>
      <c r="J29" s="227"/>
      <c r="K29" s="227"/>
      <c r="L29" s="228"/>
      <c r="M29" s="222" t="s">
        <v>2</v>
      </c>
      <c r="N29" s="112" t="s">
        <v>3</v>
      </c>
      <c r="O29" s="224" t="s">
        <v>4</v>
      </c>
      <c r="P29" s="225"/>
      <c r="Q29" s="226" t="s">
        <v>6</v>
      </c>
      <c r="R29" s="227"/>
      <c r="S29" s="227"/>
      <c r="T29" s="227"/>
      <c r="U29" s="227"/>
      <c r="V29" s="228"/>
      <c r="W29" s="222" t="s">
        <v>2</v>
      </c>
      <c r="X29" s="112" t="s">
        <v>3</v>
      </c>
      <c r="Y29" s="224" t="s">
        <v>4</v>
      </c>
      <c r="Z29" s="225"/>
      <c r="AA29" s="226" t="s">
        <v>7</v>
      </c>
      <c r="AB29" s="227"/>
      <c r="AC29" s="227"/>
      <c r="AD29" s="227"/>
      <c r="AE29" s="227"/>
      <c r="AF29" s="228"/>
      <c r="AG29" s="222" t="s">
        <v>2</v>
      </c>
      <c r="AH29" s="112" t="s">
        <v>3</v>
      </c>
      <c r="AI29" s="224" t="s">
        <v>4</v>
      </c>
      <c r="AJ29" s="225"/>
      <c r="AK29" s="226" t="s">
        <v>8</v>
      </c>
      <c r="AL29" s="227"/>
      <c r="AM29" s="227"/>
      <c r="AN29" s="227"/>
      <c r="AO29" s="227"/>
      <c r="AP29" s="228"/>
    </row>
    <row r="30" spans="1:42" ht="28.5" customHeight="1" thickBot="1">
      <c r="B30" s="252"/>
      <c r="C30" s="223"/>
      <c r="D30" s="199" t="s">
        <v>9</v>
      </c>
      <c r="E30" s="199" t="s">
        <v>10</v>
      </c>
      <c r="F30" s="112" t="s">
        <v>9</v>
      </c>
      <c r="G30" s="229" t="s">
        <v>11</v>
      </c>
      <c r="H30" s="229"/>
      <c r="I30" s="71" t="s">
        <v>12</v>
      </c>
      <c r="J30" s="147">
        <v>0</v>
      </c>
      <c r="K30" s="71" t="s">
        <v>13</v>
      </c>
      <c r="L30" s="148">
        <v>0</v>
      </c>
      <c r="M30" s="223"/>
      <c r="N30" s="199" t="s">
        <v>9</v>
      </c>
      <c r="O30" s="199" t="s">
        <v>10</v>
      </c>
      <c r="P30" s="112" t="s">
        <v>9</v>
      </c>
      <c r="Q30" s="229" t="s">
        <v>11</v>
      </c>
      <c r="R30" s="229"/>
      <c r="S30" s="71" t="s">
        <v>12</v>
      </c>
      <c r="T30" s="147">
        <v>0</v>
      </c>
      <c r="U30" s="71" t="s">
        <v>13</v>
      </c>
      <c r="V30" s="148">
        <v>0</v>
      </c>
      <c r="W30" s="223"/>
      <c r="X30" s="199" t="s">
        <v>9</v>
      </c>
      <c r="Y30" s="199" t="s">
        <v>10</v>
      </c>
      <c r="Z30" s="112" t="s">
        <v>9</v>
      </c>
      <c r="AA30" s="229" t="s">
        <v>11</v>
      </c>
      <c r="AB30" s="229"/>
      <c r="AC30" s="71" t="s">
        <v>12</v>
      </c>
      <c r="AD30" s="147">
        <v>0</v>
      </c>
      <c r="AE30" s="71" t="s">
        <v>13</v>
      </c>
      <c r="AF30" s="148">
        <v>0</v>
      </c>
      <c r="AG30" s="223"/>
      <c r="AH30" s="199" t="s">
        <v>9</v>
      </c>
      <c r="AI30" s="199" t="s">
        <v>10</v>
      </c>
      <c r="AJ30" s="112" t="s">
        <v>9</v>
      </c>
      <c r="AK30" s="229" t="s">
        <v>11</v>
      </c>
      <c r="AL30" s="229"/>
      <c r="AM30" s="71" t="s">
        <v>12</v>
      </c>
      <c r="AN30" s="147">
        <v>0</v>
      </c>
      <c r="AO30" s="71" t="s">
        <v>13</v>
      </c>
      <c r="AP30" s="148">
        <v>0</v>
      </c>
    </row>
    <row r="31" spans="1:42" ht="28.5" customHeight="1">
      <c r="A31" s="132"/>
      <c r="B31" s="58" t="s">
        <v>31</v>
      </c>
      <c r="C31" s="230"/>
      <c r="D31" s="113" t="s">
        <v>16</v>
      </c>
      <c r="E31" s="58" t="s">
        <v>15</v>
      </c>
      <c r="F31" s="195" t="s">
        <v>16</v>
      </c>
      <c r="G31" s="69" t="s">
        <v>17</v>
      </c>
      <c r="H31" s="233"/>
      <c r="I31" s="233"/>
      <c r="J31" s="233"/>
      <c r="K31" s="69" t="s">
        <v>18</v>
      </c>
      <c r="L31" s="72"/>
      <c r="M31" s="230"/>
      <c r="N31" s="113" t="s">
        <v>16</v>
      </c>
      <c r="O31" s="58" t="s">
        <v>15</v>
      </c>
      <c r="P31" s="195" t="s">
        <v>16</v>
      </c>
      <c r="Q31" s="69" t="s">
        <v>17</v>
      </c>
      <c r="R31" s="233"/>
      <c r="S31" s="233"/>
      <c r="T31" s="233"/>
      <c r="U31" s="69" t="s">
        <v>18</v>
      </c>
      <c r="V31" s="72"/>
      <c r="W31" s="230"/>
      <c r="X31" s="113" t="s">
        <v>16</v>
      </c>
      <c r="Y31" s="58" t="s">
        <v>15</v>
      </c>
      <c r="Z31" s="195" t="s">
        <v>16</v>
      </c>
      <c r="AA31" s="69" t="s">
        <v>17</v>
      </c>
      <c r="AB31" s="233"/>
      <c r="AC31" s="233"/>
      <c r="AD31" s="233"/>
      <c r="AE31" s="69" t="s">
        <v>18</v>
      </c>
      <c r="AF31" s="72"/>
      <c r="AG31" s="230"/>
      <c r="AH31" s="113" t="s">
        <v>16</v>
      </c>
      <c r="AI31" s="58" t="s">
        <v>15</v>
      </c>
      <c r="AJ31" s="195" t="s">
        <v>16</v>
      </c>
      <c r="AK31" s="69" t="s">
        <v>17</v>
      </c>
      <c r="AL31" s="233"/>
      <c r="AM31" s="233"/>
      <c r="AN31" s="233"/>
      <c r="AO31" s="69" t="s">
        <v>18</v>
      </c>
      <c r="AP31" s="72"/>
    </row>
    <row r="32" spans="1:42" ht="28.5" customHeight="1" thickBot="1">
      <c r="B32" s="114" t="str">
        <f>VLOOKUP(B31,tablaequipo,4)</f>
        <v xml:space="preserve">Camion </v>
      </c>
      <c r="C32" s="231"/>
      <c r="D32" s="113" t="s">
        <v>19</v>
      </c>
      <c r="E32" s="58" t="s">
        <v>15</v>
      </c>
      <c r="F32" s="195" t="s">
        <v>19</v>
      </c>
      <c r="G32" s="146" t="s">
        <v>20</v>
      </c>
      <c r="H32" s="234"/>
      <c r="I32" s="234"/>
      <c r="J32" s="234"/>
      <c r="K32" s="234"/>
      <c r="L32" s="235"/>
      <c r="M32" s="231"/>
      <c r="N32" s="113" t="s">
        <v>19</v>
      </c>
      <c r="O32" s="58" t="s">
        <v>15</v>
      </c>
      <c r="P32" s="195" t="s">
        <v>19</v>
      </c>
      <c r="Q32" s="146" t="s">
        <v>20</v>
      </c>
      <c r="R32" s="234"/>
      <c r="S32" s="234"/>
      <c r="T32" s="234"/>
      <c r="U32" s="234"/>
      <c r="V32" s="235"/>
      <c r="W32" s="231"/>
      <c r="X32" s="113" t="s">
        <v>19</v>
      </c>
      <c r="Y32" s="58" t="s">
        <v>15</v>
      </c>
      <c r="Z32" s="195" t="s">
        <v>19</v>
      </c>
      <c r="AA32" s="146" t="s">
        <v>20</v>
      </c>
      <c r="AB32" s="234"/>
      <c r="AC32" s="234"/>
      <c r="AD32" s="234"/>
      <c r="AE32" s="234"/>
      <c r="AF32" s="235"/>
      <c r="AG32" s="231"/>
      <c r="AH32" s="113" t="s">
        <v>19</v>
      </c>
      <c r="AI32" s="58" t="s">
        <v>15</v>
      </c>
      <c r="AJ32" s="195" t="s">
        <v>19</v>
      </c>
      <c r="AK32" s="146" t="s">
        <v>20</v>
      </c>
      <c r="AL32" s="234"/>
      <c r="AM32" s="234"/>
      <c r="AN32" s="234"/>
      <c r="AO32" s="234"/>
      <c r="AP32" s="235"/>
    </row>
    <row r="33" spans="1:42" ht="28.5" customHeight="1" thickBot="1">
      <c r="B33" s="114" t="str">
        <f>VLOOKUP(B31,tablaequipo,6)</f>
        <v>IVECO</v>
      </c>
      <c r="C33" s="231"/>
      <c r="D33" s="113" t="s">
        <v>19</v>
      </c>
      <c r="E33" s="58" t="s">
        <v>15</v>
      </c>
      <c r="F33" s="177" t="s">
        <v>24</v>
      </c>
      <c r="G33" s="70" t="s">
        <v>21</v>
      </c>
      <c r="H33" s="236"/>
      <c r="I33" s="236"/>
      <c r="J33" s="236"/>
      <c r="K33" s="70" t="s">
        <v>22</v>
      </c>
      <c r="L33" s="68"/>
      <c r="M33" s="231"/>
      <c r="N33" s="113" t="s">
        <v>19</v>
      </c>
      <c r="O33" s="58" t="s">
        <v>15</v>
      </c>
      <c r="P33" s="177" t="s">
        <v>24</v>
      </c>
      <c r="Q33" s="70" t="s">
        <v>21</v>
      </c>
      <c r="R33" s="236"/>
      <c r="S33" s="236"/>
      <c r="T33" s="236"/>
      <c r="U33" s="70" t="s">
        <v>22</v>
      </c>
      <c r="V33" s="68"/>
      <c r="W33" s="231"/>
      <c r="X33" s="113" t="s">
        <v>19</v>
      </c>
      <c r="Y33" s="58" t="s">
        <v>15</v>
      </c>
      <c r="Z33" s="177" t="s">
        <v>24</v>
      </c>
      <c r="AA33" s="70" t="s">
        <v>21</v>
      </c>
      <c r="AB33" s="236"/>
      <c r="AC33" s="236"/>
      <c r="AD33" s="236"/>
      <c r="AE33" s="70" t="s">
        <v>22</v>
      </c>
      <c r="AF33" s="68"/>
      <c r="AG33" s="231"/>
      <c r="AH33" s="113" t="s">
        <v>19</v>
      </c>
      <c r="AI33" s="58" t="s">
        <v>15</v>
      </c>
      <c r="AJ33" s="177" t="s">
        <v>24</v>
      </c>
      <c r="AK33" s="70" t="s">
        <v>21</v>
      </c>
      <c r="AL33" s="236"/>
      <c r="AM33" s="236"/>
      <c r="AN33" s="236"/>
      <c r="AO33" s="70" t="s">
        <v>22</v>
      </c>
      <c r="AP33" s="68"/>
    </row>
    <row r="34" spans="1:42" ht="28.5" customHeight="1">
      <c r="B34" s="114" t="str">
        <f>VLOOKUP(B31,tablaequipo,7)</f>
        <v>EURO 220</v>
      </c>
      <c r="C34" s="231"/>
      <c r="D34" s="113" t="s">
        <v>19</v>
      </c>
      <c r="E34" s="58" t="s">
        <v>15</v>
      </c>
      <c r="F34" s="196" t="s">
        <v>16</v>
      </c>
      <c r="G34" s="146" t="s">
        <v>23</v>
      </c>
      <c r="H34" s="234"/>
      <c r="I34" s="234"/>
      <c r="J34" s="234"/>
      <c r="K34" s="234"/>
      <c r="L34" s="235"/>
      <c r="M34" s="231"/>
      <c r="N34" s="113" t="s">
        <v>19</v>
      </c>
      <c r="O34" s="58" t="s">
        <v>15</v>
      </c>
      <c r="P34" s="196" t="s">
        <v>16</v>
      </c>
      <c r="Q34" s="146" t="s">
        <v>23</v>
      </c>
      <c r="R34" s="234"/>
      <c r="S34" s="234"/>
      <c r="T34" s="234"/>
      <c r="U34" s="234"/>
      <c r="V34" s="235"/>
      <c r="W34" s="231"/>
      <c r="X34" s="113" t="s">
        <v>19</v>
      </c>
      <c r="Y34" s="58" t="s">
        <v>15</v>
      </c>
      <c r="Z34" s="196" t="s">
        <v>16</v>
      </c>
      <c r="AA34" s="146" t="s">
        <v>23</v>
      </c>
      <c r="AB34" s="234"/>
      <c r="AC34" s="234"/>
      <c r="AD34" s="234"/>
      <c r="AE34" s="234"/>
      <c r="AF34" s="235"/>
      <c r="AG34" s="231"/>
      <c r="AH34" s="113" t="s">
        <v>19</v>
      </c>
      <c r="AI34" s="58" t="s">
        <v>15</v>
      </c>
      <c r="AJ34" s="196" t="s">
        <v>16</v>
      </c>
      <c r="AK34" s="146" t="s">
        <v>23</v>
      </c>
      <c r="AL34" s="234"/>
      <c r="AM34" s="234"/>
      <c r="AN34" s="234"/>
      <c r="AO34" s="234"/>
      <c r="AP34" s="235"/>
    </row>
    <row r="35" spans="1:42" ht="28.5" customHeight="1" thickBot="1">
      <c r="B35" s="114" t="str">
        <f>VLOOKUP(B31,tablaequipo,8)</f>
        <v>HOD 216</v>
      </c>
      <c r="C35" s="231"/>
      <c r="D35" s="113" t="s">
        <v>19</v>
      </c>
      <c r="E35" s="58" t="s">
        <v>15</v>
      </c>
      <c r="F35" s="196" t="s">
        <v>19</v>
      </c>
      <c r="G35" s="70" t="s">
        <v>21</v>
      </c>
      <c r="H35" s="236"/>
      <c r="I35" s="236"/>
      <c r="J35" s="236"/>
      <c r="K35" s="70" t="s">
        <v>22</v>
      </c>
      <c r="L35" s="68"/>
      <c r="M35" s="231"/>
      <c r="N35" s="113" t="s">
        <v>19</v>
      </c>
      <c r="O35" s="58" t="s">
        <v>15</v>
      </c>
      <c r="P35" s="196" t="s">
        <v>19</v>
      </c>
      <c r="Q35" s="70" t="s">
        <v>21</v>
      </c>
      <c r="R35" s="236"/>
      <c r="S35" s="236"/>
      <c r="T35" s="236"/>
      <c r="U35" s="70" t="s">
        <v>22</v>
      </c>
      <c r="V35" s="68"/>
      <c r="W35" s="231"/>
      <c r="X35" s="113" t="s">
        <v>19</v>
      </c>
      <c r="Y35" s="58" t="s">
        <v>15</v>
      </c>
      <c r="Z35" s="196" t="s">
        <v>19</v>
      </c>
      <c r="AA35" s="70" t="s">
        <v>21</v>
      </c>
      <c r="AB35" s="236"/>
      <c r="AC35" s="236"/>
      <c r="AD35" s="236"/>
      <c r="AE35" s="70" t="s">
        <v>22</v>
      </c>
      <c r="AF35" s="68"/>
      <c r="AG35" s="231"/>
      <c r="AH35" s="113" t="s">
        <v>19</v>
      </c>
      <c r="AI35" s="58" t="s">
        <v>15</v>
      </c>
      <c r="AJ35" s="196" t="s">
        <v>19</v>
      </c>
      <c r="AK35" s="70" t="s">
        <v>21</v>
      </c>
      <c r="AL35" s="236"/>
      <c r="AM35" s="236"/>
      <c r="AN35" s="236"/>
      <c r="AO35" s="70" t="s">
        <v>22</v>
      </c>
      <c r="AP35" s="68"/>
    </row>
    <row r="36" spans="1:42" ht="28.5" customHeight="1" thickBot="1">
      <c r="B36" s="121">
        <v>0</v>
      </c>
      <c r="C36" s="231"/>
      <c r="D36" s="113" t="s">
        <v>19</v>
      </c>
      <c r="E36" s="58" t="s">
        <v>15</v>
      </c>
      <c r="F36" s="186" t="s">
        <v>15</v>
      </c>
      <c r="G36" s="140" t="s">
        <v>25</v>
      </c>
      <c r="H36" s="237" t="s">
        <v>26</v>
      </c>
      <c r="I36" s="238"/>
      <c r="J36" s="140" t="s">
        <v>27</v>
      </c>
      <c r="K36" s="237" t="s">
        <v>28</v>
      </c>
      <c r="L36" s="239"/>
      <c r="M36" s="231"/>
      <c r="N36" s="113" t="s">
        <v>19</v>
      </c>
      <c r="O36" s="58" t="s">
        <v>15</v>
      </c>
      <c r="P36" s="186" t="s">
        <v>15</v>
      </c>
      <c r="Q36" s="140" t="s">
        <v>25</v>
      </c>
      <c r="R36" s="237" t="s">
        <v>26</v>
      </c>
      <c r="S36" s="238"/>
      <c r="T36" s="140" t="s">
        <v>27</v>
      </c>
      <c r="U36" s="237" t="s">
        <v>28</v>
      </c>
      <c r="V36" s="239"/>
      <c r="W36" s="231"/>
      <c r="X36" s="113" t="s">
        <v>19</v>
      </c>
      <c r="Y36" s="58" t="s">
        <v>15</v>
      </c>
      <c r="Z36" s="186" t="s">
        <v>15</v>
      </c>
      <c r="AA36" s="140" t="s">
        <v>25</v>
      </c>
      <c r="AB36" s="237" t="s">
        <v>26</v>
      </c>
      <c r="AC36" s="238"/>
      <c r="AD36" s="140" t="s">
        <v>27</v>
      </c>
      <c r="AE36" s="237" t="s">
        <v>28</v>
      </c>
      <c r="AF36" s="239"/>
      <c r="AG36" s="231"/>
      <c r="AH36" s="113" t="s">
        <v>19</v>
      </c>
      <c r="AI36" s="58" t="s">
        <v>15</v>
      </c>
      <c r="AJ36" s="186" t="s">
        <v>15</v>
      </c>
      <c r="AK36" s="140" t="s">
        <v>25</v>
      </c>
      <c r="AL36" s="237" t="s">
        <v>26</v>
      </c>
      <c r="AM36" s="238"/>
      <c r="AN36" s="140" t="s">
        <v>27</v>
      </c>
      <c r="AO36" s="237" t="s">
        <v>28</v>
      </c>
      <c r="AP36" s="239"/>
    </row>
    <row r="37" spans="1:42" ht="28.5" customHeight="1" thickBot="1">
      <c r="B37" s="122" t="str">
        <f>VLOOKUP(B36,tablapermiso,3)</f>
        <v>Seleccione Gestion</v>
      </c>
      <c r="C37" s="232"/>
      <c r="D37" s="113" t="s">
        <v>19</v>
      </c>
      <c r="E37" s="58" t="s">
        <v>15</v>
      </c>
      <c r="F37" s="187" t="str">
        <f>VLOOKUP(F36,tablatractor,3)</f>
        <v>Seleccione Equipo</v>
      </c>
      <c r="G37" s="141">
        <v>0</v>
      </c>
      <c r="H37" s="240" t="str">
        <f>VLOOKUP(G37,tablaestado,3)</f>
        <v>Seleccione Estado</v>
      </c>
      <c r="I37" s="240"/>
      <c r="J37" s="240"/>
      <c r="K37" s="240"/>
      <c r="L37" s="241"/>
      <c r="M37" s="232"/>
      <c r="N37" s="113" t="s">
        <v>19</v>
      </c>
      <c r="O37" s="58" t="s">
        <v>15</v>
      </c>
      <c r="P37" s="187" t="str">
        <f>VLOOKUP(P36,tablatractor,3)</f>
        <v>Seleccione Equipo</v>
      </c>
      <c r="Q37" s="141">
        <v>0</v>
      </c>
      <c r="R37" s="240" t="str">
        <f>VLOOKUP(Q37,tablaestado,3)</f>
        <v>Seleccione Estado</v>
      </c>
      <c r="S37" s="240"/>
      <c r="T37" s="240"/>
      <c r="U37" s="240"/>
      <c r="V37" s="241"/>
      <c r="W37" s="232"/>
      <c r="X37" s="113" t="s">
        <v>19</v>
      </c>
      <c r="Y37" s="58" t="s">
        <v>15</v>
      </c>
      <c r="Z37" s="187" t="str">
        <f>VLOOKUP(Z36,tablatractor,3)</f>
        <v>Seleccione Equipo</v>
      </c>
      <c r="AA37" s="141">
        <v>0</v>
      </c>
      <c r="AB37" s="240" t="str">
        <f>VLOOKUP(AA37,tablaestado,3)</f>
        <v>Seleccione Estado</v>
      </c>
      <c r="AC37" s="240"/>
      <c r="AD37" s="240"/>
      <c r="AE37" s="240"/>
      <c r="AF37" s="241"/>
      <c r="AG37" s="232"/>
      <c r="AH37" s="113" t="s">
        <v>19</v>
      </c>
      <c r="AI37" s="58" t="s">
        <v>15</v>
      </c>
      <c r="AJ37" s="187" t="str">
        <f>VLOOKUP(AJ36,tablatractor,3)</f>
        <v>Seleccione Equipo</v>
      </c>
      <c r="AK37" s="141">
        <v>0</v>
      </c>
      <c r="AL37" s="240" t="str">
        <f>VLOOKUP(AK37,tablaestado,3)</f>
        <v>Seleccione Estado</v>
      </c>
      <c r="AM37" s="240"/>
      <c r="AN37" s="240"/>
      <c r="AO37" s="240"/>
      <c r="AP37" s="241"/>
    </row>
    <row r="38" spans="1:42" ht="28.5" customHeight="1" thickBot="1">
      <c r="B38" s="251" t="s">
        <v>1</v>
      </c>
      <c r="C38" s="222" t="s">
        <v>2</v>
      </c>
      <c r="D38" s="112" t="s">
        <v>3</v>
      </c>
      <c r="E38" s="224" t="s">
        <v>4</v>
      </c>
      <c r="F38" s="225"/>
      <c r="G38" s="226" t="s">
        <v>5</v>
      </c>
      <c r="H38" s="227"/>
      <c r="I38" s="227"/>
      <c r="J38" s="227"/>
      <c r="K38" s="227"/>
      <c r="L38" s="228"/>
      <c r="M38" s="222" t="s">
        <v>2</v>
      </c>
      <c r="N38" s="112" t="s">
        <v>3</v>
      </c>
      <c r="O38" s="224" t="s">
        <v>4</v>
      </c>
      <c r="P38" s="225"/>
      <c r="Q38" s="226" t="s">
        <v>6</v>
      </c>
      <c r="R38" s="227"/>
      <c r="S38" s="227"/>
      <c r="T38" s="227"/>
      <c r="U38" s="227"/>
      <c r="V38" s="228"/>
      <c r="W38" s="222" t="s">
        <v>2</v>
      </c>
      <c r="X38" s="112" t="s">
        <v>3</v>
      </c>
      <c r="Y38" s="224" t="s">
        <v>4</v>
      </c>
      <c r="Z38" s="225"/>
      <c r="AA38" s="226" t="s">
        <v>7</v>
      </c>
      <c r="AB38" s="227"/>
      <c r="AC38" s="227"/>
      <c r="AD38" s="227"/>
      <c r="AE38" s="227"/>
      <c r="AF38" s="228"/>
      <c r="AG38" s="222" t="s">
        <v>2</v>
      </c>
      <c r="AH38" s="112" t="s">
        <v>3</v>
      </c>
      <c r="AI38" s="224" t="s">
        <v>4</v>
      </c>
      <c r="AJ38" s="225"/>
      <c r="AK38" s="226" t="s">
        <v>8</v>
      </c>
      <c r="AL38" s="227"/>
      <c r="AM38" s="227"/>
      <c r="AN38" s="227"/>
      <c r="AO38" s="227"/>
      <c r="AP38" s="228"/>
    </row>
    <row r="39" spans="1:42" ht="28.5" customHeight="1" thickBot="1">
      <c r="B39" s="252"/>
      <c r="C39" s="223"/>
      <c r="D39" s="199" t="s">
        <v>9</v>
      </c>
      <c r="E39" s="199" t="s">
        <v>10</v>
      </c>
      <c r="F39" s="112" t="s">
        <v>9</v>
      </c>
      <c r="G39" s="229" t="s">
        <v>11</v>
      </c>
      <c r="H39" s="229"/>
      <c r="I39" s="71" t="s">
        <v>12</v>
      </c>
      <c r="J39" s="147">
        <v>0</v>
      </c>
      <c r="K39" s="71" t="s">
        <v>13</v>
      </c>
      <c r="L39" s="148">
        <v>0</v>
      </c>
      <c r="M39" s="223"/>
      <c r="N39" s="199" t="s">
        <v>9</v>
      </c>
      <c r="O39" s="199" t="s">
        <v>10</v>
      </c>
      <c r="P39" s="112" t="s">
        <v>9</v>
      </c>
      <c r="Q39" s="229" t="s">
        <v>11</v>
      </c>
      <c r="R39" s="229"/>
      <c r="S39" s="71" t="s">
        <v>12</v>
      </c>
      <c r="T39" s="147">
        <v>0</v>
      </c>
      <c r="U39" s="71" t="s">
        <v>13</v>
      </c>
      <c r="V39" s="148">
        <v>0</v>
      </c>
      <c r="W39" s="223"/>
      <c r="X39" s="199" t="s">
        <v>9</v>
      </c>
      <c r="Y39" s="199" t="s">
        <v>10</v>
      </c>
      <c r="Z39" s="112" t="s">
        <v>9</v>
      </c>
      <c r="AA39" s="229" t="s">
        <v>11</v>
      </c>
      <c r="AB39" s="229"/>
      <c r="AC39" s="71" t="s">
        <v>12</v>
      </c>
      <c r="AD39" s="147">
        <v>0</v>
      </c>
      <c r="AE39" s="71" t="s">
        <v>13</v>
      </c>
      <c r="AF39" s="148">
        <v>0</v>
      </c>
      <c r="AG39" s="223"/>
      <c r="AH39" s="199" t="s">
        <v>9</v>
      </c>
      <c r="AI39" s="199" t="s">
        <v>10</v>
      </c>
      <c r="AJ39" s="112" t="s">
        <v>9</v>
      </c>
      <c r="AK39" s="229" t="s">
        <v>11</v>
      </c>
      <c r="AL39" s="229"/>
      <c r="AM39" s="71" t="s">
        <v>12</v>
      </c>
      <c r="AN39" s="147">
        <v>0</v>
      </c>
      <c r="AO39" s="71" t="s">
        <v>13</v>
      </c>
      <c r="AP39" s="148">
        <v>0</v>
      </c>
    </row>
    <row r="40" spans="1:42" ht="28.5" customHeight="1">
      <c r="A40" s="132"/>
      <c r="B40" s="58" t="s">
        <v>32</v>
      </c>
      <c r="C40" s="230"/>
      <c r="D40" s="113" t="s">
        <v>16</v>
      </c>
      <c r="E40" s="58" t="s">
        <v>15</v>
      </c>
      <c r="F40" s="195" t="s">
        <v>16</v>
      </c>
      <c r="G40" s="69" t="s">
        <v>17</v>
      </c>
      <c r="H40" s="233"/>
      <c r="I40" s="233"/>
      <c r="J40" s="233"/>
      <c r="K40" s="69" t="s">
        <v>18</v>
      </c>
      <c r="L40" s="72"/>
      <c r="M40" s="230"/>
      <c r="N40" s="113" t="s">
        <v>16</v>
      </c>
      <c r="O40" s="58" t="s">
        <v>15</v>
      </c>
      <c r="P40" s="195" t="s">
        <v>16</v>
      </c>
      <c r="Q40" s="69" t="s">
        <v>17</v>
      </c>
      <c r="R40" s="233"/>
      <c r="S40" s="233"/>
      <c r="T40" s="233"/>
      <c r="U40" s="69" t="s">
        <v>18</v>
      </c>
      <c r="V40" s="72"/>
      <c r="W40" s="230"/>
      <c r="X40" s="113" t="s">
        <v>16</v>
      </c>
      <c r="Y40" s="58" t="s">
        <v>15</v>
      </c>
      <c r="Z40" s="195" t="s">
        <v>16</v>
      </c>
      <c r="AA40" s="69" t="s">
        <v>17</v>
      </c>
      <c r="AB40" s="233"/>
      <c r="AC40" s="233"/>
      <c r="AD40" s="233"/>
      <c r="AE40" s="69" t="s">
        <v>18</v>
      </c>
      <c r="AF40" s="72"/>
      <c r="AG40" s="230"/>
      <c r="AH40" s="113" t="s">
        <v>16</v>
      </c>
      <c r="AI40" s="58" t="s">
        <v>15</v>
      </c>
      <c r="AJ40" s="195" t="s">
        <v>16</v>
      </c>
      <c r="AK40" s="69" t="s">
        <v>17</v>
      </c>
      <c r="AL40" s="233"/>
      <c r="AM40" s="233"/>
      <c r="AN40" s="233"/>
      <c r="AO40" s="69" t="s">
        <v>18</v>
      </c>
      <c r="AP40" s="72"/>
    </row>
    <row r="41" spans="1:42" ht="28.5" customHeight="1">
      <c r="B41" s="114" t="str">
        <f>VLOOKUP(B40,tablaequipo,4)</f>
        <v xml:space="preserve">Camion </v>
      </c>
      <c r="C41" s="231"/>
      <c r="D41" s="113" t="s">
        <v>19</v>
      </c>
      <c r="E41" s="58" t="s">
        <v>15</v>
      </c>
      <c r="F41" s="195" t="s">
        <v>19</v>
      </c>
      <c r="G41" s="146" t="s">
        <v>20</v>
      </c>
      <c r="H41" s="234"/>
      <c r="I41" s="234"/>
      <c r="J41" s="234"/>
      <c r="K41" s="234"/>
      <c r="L41" s="235"/>
      <c r="M41" s="231"/>
      <c r="N41" s="113" t="s">
        <v>19</v>
      </c>
      <c r="O41" s="58" t="s">
        <v>15</v>
      </c>
      <c r="P41" s="195" t="s">
        <v>19</v>
      </c>
      <c r="Q41" s="146" t="s">
        <v>20</v>
      </c>
      <c r="R41" s="234"/>
      <c r="S41" s="234"/>
      <c r="T41" s="234"/>
      <c r="U41" s="234"/>
      <c r="V41" s="235"/>
      <c r="W41" s="231"/>
      <c r="X41" s="113" t="s">
        <v>19</v>
      </c>
      <c r="Y41" s="58" t="s">
        <v>15</v>
      </c>
      <c r="Z41" s="195" t="s">
        <v>19</v>
      </c>
      <c r="AA41" s="146" t="s">
        <v>20</v>
      </c>
      <c r="AB41" s="234"/>
      <c r="AC41" s="234"/>
      <c r="AD41" s="234"/>
      <c r="AE41" s="234"/>
      <c r="AF41" s="235"/>
      <c r="AG41" s="231"/>
      <c r="AH41" s="113" t="s">
        <v>19</v>
      </c>
      <c r="AI41" s="58" t="s">
        <v>15</v>
      </c>
      <c r="AJ41" s="195" t="s">
        <v>19</v>
      </c>
      <c r="AK41" s="146" t="s">
        <v>20</v>
      </c>
      <c r="AL41" s="234"/>
      <c r="AM41" s="234"/>
      <c r="AN41" s="234"/>
      <c r="AO41" s="234"/>
      <c r="AP41" s="235"/>
    </row>
    <row r="42" spans="1:42" ht="28.5" customHeight="1">
      <c r="B42" s="114" t="str">
        <f>VLOOKUP(B40,tablaequipo,6)</f>
        <v>IVECO</v>
      </c>
      <c r="C42" s="231"/>
      <c r="D42" s="113" t="s">
        <v>19</v>
      </c>
      <c r="E42" s="58" t="s">
        <v>15</v>
      </c>
      <c r="F42" s="195" t="s">
        <v>19</v>
      </c>
      <c r="G42" s="70" t="s">
        <v>21</v>
      </c>
      <c r="H42" s="236"/>
      <c r="I42" s="236"/>
      <c r="J42" s="236"/>
      <c r="K42" s="70" t="s">
        <v>22</v>
      </c>
      <c r="L42" s="68"/>
      <c r="M42" s="231"/>
      <c r="N42" s="113" t="s">
        <v>19</v>
      </c>
      <c r="O42" s="58" t="s">
        <v>15</v>
      </c>
      <c r="P42" s="195" t="s">
        <v>19</v>
      </c>
      <c r="Q42" s="70" t="s">
        <v>21</v>
      </c>
      <c r="R42" s="236"/>
      <c r="S42" s="236"/>
      <c r="T42" s="236"/>
      <c r="U42" s="70" t="s">
        <v>22</v>
      </c>
      <c r="V42" s="68"/>
      <c r="W42" s="231"/>
      <c r="X42" s="113" t="s">
        <v>19</v>
      </c>
      <c r="Y42" s="58" t="s">
        <v>15</v>
      </c>
      <c r="Z42" s="195" t="s">
        <v>19</v>
      </c>
      <c r="AA42" s="70" t="s">
        <v>21</v>
      </c>
      <c r="AB42" s="236"/>
      <c r="AC42" s="236"/>
      <c r="AD42" s="236"/>
      <c r="AE42" s="70" t="s">
        <v>22</v>
      </c>
      <c r="AF42" s="68"/>
      <c r="AG42" s="231"/>
      <c r="AH42" s="113" t="s">
        <v>19</v>
      </c>
      <c r="AI42" s="58" t="s">
        <v>15</v>
      </c>
      <c r="AJ42" s="195" t="s">
        <v>19</v>
      </c>
      <c r="AK42" s="70" t="s">
        <v>21</v>
      </c>
      <c r="AL42" s="236"/>
      <c r="AM42" s="236"/>
      <c r="AN42" s="236"/>
      <c r="AO42" s="70" t="s">
        <v>22</v>
      </c>
      <c r="AP42" s="68"/>
    </row>
    <row r="43" spans="1:42" ht="28.5" customHeight="1" thickBot="1">
      <c r="B43" s="114" t="str">
        <f>VLOOKUP(B40,tablaequipo,7)</f>
        <v>170 E 22</v>
      </c>
      <c r="C43" s="231"/>
      <c r="D43" s="113" t="s">
        <v>19</v>
      </c>
      <c r="E43" s="58" t="s">
        <v>15</v>
      </c>
      <c r="F43" s="195" t="s">
        <v>19</v>
      </c>
      <c r="G43" s="146" t="s">
        <v>23</v>
      </c>
      <c r="H43" s="234"/>
      <c r="I43" s="234"/>
      <c r="J43" s="234"/>
      <c r="K43" s="234"/>
      <c r="L43" s="235"/>
      <c r="M43" s="231"/>
      <c r="N43" s="113" t="s">
        <v>19</v>
      </c>
      <c r="O43" s="58" t="s">
        <v>15</v>
      </c>
      <c r="P43" s="195" t="s">
        <v>19</v>
      </c>
      <c r="Q43" s="146" t="s">
        <v>23</v>
      </c>
      <c r="R43" s="234"/>
      <c r="S43" s="234"/>
      <c r="T43" s="234"/>
      <c r="U43" s="234"/>
      <c r="V43" s="235"/>
      <c r="W43" s="231"/>
      <c r="X43" s="113" t="s">
        <v>19</v>
      </c>
      <c r="Y43" s="58" t="s">
        <v>15</v>
      </c>
      <c r="Z43" s="195" t="s">
        <v>19</v>
      </c>
      <c r="AA43" s="146" t="s">
        <v>23</v>
      </c>
      <c r="AB43" s="234"/>
      <c r="AC43" s="234"/>
      <c r="AD43" s="234"/>
      <c r="AE43" s="234"/>
      <c r="AF43" s="235"/>
      <c r="AG43" s="231"/>
      <c r="AH43" s="113" t="s">
        <v>19</v>
      </c>
      <c r="AI43" s="58" t="s">
        <v>15</v>
      </c>
      <c r="AJ43" s="195" t="s">
        <v>19</v>
      </c>
      <c r="AK43" s="146" t="s">
        <v>23</v>
      </c>
      <c r="AL43" s="234"/>
      <c r="AM43" s="234"/>
      <c r="AN43" s="234"/>
      <c r="AO43" s="234"/>
      <c r="AP43" s="235"/>
    </row>
    <row r="44" spans="1:42" ht="28.5" customHeight="1" thickBot="1">
      <c r="B44" s="114" t="str">
        <f>VLOOKUP(B40,tablaequipo,8)</f>
        <v>AC 223 HV</v>
      </c>
      <c r="C44" s="231"/>
      <c r="D44" s="113" t="s">
        <v>19</v>
      </c>
      <c r="E44" s="58" t="s">
        <v>15</v>
      </c>
      <c r="F44" s="177" t="s">
        <v>24</v>
      </c>
      <c r="G44" s="70" t="s">
        <v>21</v>
      </c>
      <c r="H44" s="236"/>
      <c r="I44" s="236"/>
      <c r="J44" s="236"/>
      <c r="K44" s="70" t="s">
        <v>22</v>
      </c>
      <c r="L44" s="68"/>
      <c r="M44" s="231"/>
      <c r="N44" s="113" t="s">
        <v>19</v>
      </c>
      <c r="O44" s="58" t="s">
        <v>15</v>
      </c>
      <c r="P44" s="177" t="s">
        <v>24</v>
      </c>
      <c r="Q44" s="70" t="s">
        <v>21</v>
      </c>
      <c r="R44" s="236"/>
      <c r="S44" s="236"/>
      <c r="T44" s="236"/>
      <c r="U44" s="70" t="s">
        <v>22</v>
      </c>
      <c r="V44" s="68"/>
      <c r="W44" s="231"/>
      <c r="X44" s="113" t="s">
        <v>19</v>
      </c>
      <c r="Y44" s="58" t="s">
        <v>15</v>
      </c>
      <c r="Z44" s="177" t="s">
        <v>24</v>
      </c>
      <c r="AA44" s="70" t="s">
        <v>21</v>
      </c>
      <c r="AB44" s="236"/>
      <c r="AC44" s="236"/>
      <c r="AD44" s="236"/>
      <c r="AE44" s="70" t="s">
        <v>22</v>
      </c>
      <c r="AF44" s="68"/>
      <c r="AG44" s="231"/>
      <c r="AH44" s="113" t="s">
        <v>19</v>
      </c>
      <c r="AI44" s="58" t="s">
        <v>15</v>
      </c>
      <c r="AJ44" s="177" t="s">
        <v>24</v>
      </c>
      <c r="AK44" s="70" t="s">
        <v>21</v>
      </c>
      <c r="AL44" s="236"/>
      <c r="AM44" s="236"/>
      <c r="AN44" s="236"/>
      <c r="AO44" s="70" t="s">
        <v>22</v>
      </c>
      <c r="AP44" s="68"/>
    </row>
    <row r="45" spans="1:42" ht="28.5" customHeight="1" thickBot="1">
      <c r="B45" s="121">
        <v>0</v>
      </c>
      <c r="C45" s="231"/>
      <c r="D45" s="113" t="s">
        <v>19</v>
      </c>
      <c r="E45" s="58" t="s">
        <v>15</v>
      </c>
      <c r="F45" s="196" t="s">
        <v>16</v>
      </c>
      <c r="G45" s="140" t="s">
        <v>25</v>
      </c>
      <c r="H45" s="237" t="s">
        <v>26</v>
      </c>
      <c r="I45" s="238"/>
      <c r="J45" s="140" t="s">
        <v>27</v>
      </c>
      <c r="K45" s="237" t="s">
        <v>28</v>
      </c>
      <c r="L45" s="239"/>
      <c r="M45" s="231"/>
      <c r="N45" s="113" t="s">
        <v>19</v>
      </c>
      <c r="O45" s="58" t="s">
        <v>15</v>
      </c>
      <c r="P45" s="196" t="s">
        <v>16</v>
      </c>
      <c r="Q45" s="140" t="s">
        <v>25</v>
      </c>
      <c r="R45" s="237" t="s">
        <v>26</v>
      </c>
      <c r="S45" s="238"/>
      <c r="T45" s="140" t="s">
        <v>27</v>
      </c>
      <c r="U45" s="237" t="s">
        <v>28</v>
      </c>
      <c r="V45" s="239"/>
      <c r="W45" s="231"/>
      <c r="X45" s="113" t="s">
        <v>19</v>
      </c>
      <c r="Y45" s="58" t="s">
        <v>15</v>
      </c>
      <c r="Z45" s="196" t="s">
        <v>16</v>
      </c>
      <c r="AA45" s="140" t="s">
        <v>25</v>
      </c>
      <c r="AB45" s="237" t="s">
        <v>26</v>
      </c>
      <c r="AC45" s="238"/>
      <c r="AD45" s="140" t="s">
        <v>27</v>
      </c>
      <c r="AE45" s="237" t="s">
        <v>28</v>
      </c>
      <c r="AF45" s="239"/>
      <c r="AG45" s="231"/>
      <c r="AH45" s="113" t="s">
        <v>19</v>
      </c>
      <c r="AI45" s="58" t="s">
        <v>15</v>
      </c>
      <c r="AJ45" s="196" t="s">
        <v>16</v>
      </c>
      <c r="AK45" s="140" t="s">
        <v>25</v>
      </c>
      <c r="AL45" s="237" t="s">
        <v>26</v>
      </c>
      <c r="AM45" s="238"/>
      <c r="AN45" s="140" t="s">
        <v>27</v>
      </c>
      <c r="AO45" s="237" t="s">
        <v>28</v>
      </c>
      <c r="AP45" s="239"/>
    </row>
    <row r="46" spans="1:42" ht="28.5" customHeight="1" thickBot="1">
      <c r="B46" s="122" t="str">
        <f>VLOOKUP(B45,tablapermiso,3)</f>
        <v>Seleccione Gestion</v>
      </c>
      <c r="C46" s="232"/>
      <c r="D46" s="113" t="s">
        <v>19</v>
      </c>
      <c r="E46" s="58" t="s">
        <v>15</v>
      </c>
      <c r="F46" s="196" t="s">
        <v>19</v>
      </c>
      <c r="G46" s="141">
        <v>0</v>
      </c>
      <c r="H46" s="240" t="str">
        <f>VLOOKUP(G46,tablaestado,3)</f>
        <v>Seleccione Estado</v>
      </c>
      <c r="I46" s="240"/>
      <c r="J46" s="240"/>
      <c r="K46" s="240"/>
      <c r="L46" s="241"/>
      <c r="M46" s="232"/>
      <c r="N46" s="113" t="s">
        <v>19</v>
      </c>
      <c r="O46" s="58" t="s">
        <v>15</v>
      </c>
      <c r="P46" s="196" t="s">
        <v>19</v>
      </c>
      <c r="Q46" s="141">
        <v>0</v>
      </c>
      <c r="R46" s="240" t="str">
        <f>VLOOKUP(Q46,tablaestado,3)</f>
        <v>Seleccione Estado</v>
      </c>
      <c r="S46" s="240"/>
      <c r="T46" s="240"/>
      <c r="U46" s="240"/>
      <c r="V46" s="241"/>
      <c r="W46" s="232"/>
      <c r="X46" s="113" t="s">
        <v>19</v>
      </c>
      <c r="Y46" s="58" t="s">
        <v>15</v>
      </c>
      <c r="Z46" s="196" t="s">
        <v>19</v>
      </c>
      <c r="AA46" s="141">
        <v>0</v>
      </c>
      <c r="AB46" s="240" t="str">
        <f>VLOOKUP(AA46,tablaestado,3)</f>
        <v>Seleccione Estado</v>
      </c>
      <c r="AC46" s="240"/>
      <c r="AD46" s="240"/>
      <c r="AE46" s="240"/>
      <c r="AF46" s="241"/>
      <c r="AG46" s="232"/>
      <c r="AH46" s="113" t="s">
        <v>19</v>
      </c>
      <c r="AI46" s="58" t="s">
        <v>15</v>
      </c>
      <c r="AJ46" s="196" t="s">
        <v>19</v>
      </c>
      <c r="AK46" s="141">
        <v>0</v>
      </c>
      <c r="AL46" s="240" t="str">
        <f>VLOOKUP(AK46,tablaestado,3)</f>
        <v>Seleccione Estado</v>
      </c>
      <c r="AM46" s="240"/>
      <c r="AN46" s="240"/>
      <c r="AO46" s="240"/>
      <c r="AP46" s="241"/>
    </row>
    <row r="47" spans="1:42" ht="28.5" customHeight="1" thickBot="1">
      <c r="B47" s="251" t="s">
        <v>1</v>
      </c>
      <c r="C47" s="222" t="s">
        <v>2</v>
      </c>
      <c r="D47" s="112" t="s">
        <v>3</v>
      </c>
      <c r="E47" s="224" t="s">
        <v>4</v>
      </c>
      <c r="F47" s="225"/>
      <c r="G47" s="226" t="s">
        <v>5</v>
      </c>
      <c r="H47" s="227"/>
      <c r="I47" s="227"/>
      <c r="J47" s="227"/>
      <c r="K47" s="227"/>
      <c r="L47" s="228"/>
      <c r="M47" s="222" t="s">
        <v>2</v>
      </c>
      <c r="N47" s="112" t="s">
        <v>3</v>
      </c>
      <c r="O47" s="224" t="s">
        <v>4</v>
      </c>
      <c r="P47" s="225"/>
      <c r="Q47" s="226" t="s">
        <v>6</v>
      </c>
      <c r="R47" s="227"/>
      <c r="S47" s="227"/>
      <c r="T47" s="227"/>
      <c r="U47" s="227"/>
      <c r="V47" s="228"/>
      <c r="W47" s="222" t="s">
        <v>2</v>
      </c>
      <c r="X47" s="112" t="s">
        <v>3</v>
      </c>
      <c r="Y47" s="224" t="s">
        <v>4</v>
      </c>
      <c r="Z47" s="225"/>
      <c r="AA47" s="226" t="s">
        <v>7</v>
      </c>
      <c r="AB47" s="227"/>
      <c r="AC47" s="227"/>
      <c r="AD47" s="227"/>
      <c r="AE47" s="227"/>
      <c r="AF47" s="228"/>
      <c r="AG47" s="222" t="s">
        <v>2</v>
      </c>
      <c r="AH47" s="112" t="s">
        <v>3</v>
      </c>
      <c r="AI47" s="224" t="s">
        <v>4</v>
      </c>
      <c r="AJ47" s="225"/>
      <c r="AK47" s="226" t="s">
        <v>8</v>
      </c>
      <c r="AL47" s="227"/>
      <c r="AM47" s="227"/>
      <c r="AN47" s="227"/>
      <c r="AO47" s="227"/>
      <c r="AP47" s="228"/>
    </row>
    <row r="48" spans="1:42" ht="28.5" customHeight="1" thickBot="1">
      <c r="B48" s="252"/>
      <c r="C48" s="223"/>
      <c r="D48" s="199" t="s">
        <v>9</v>
      </c>
      <c r="E48" s="199" t="s">
        <v>10</v>
      </c>
      <c r="F48" s="112" t="s">
        <v>9</v>
      </c>
      <c r="G48" s="229" t="s">
        <v>11</v>
      </c>
      <c r="H48" s="229"/>
      <c r="I48" s="71" t="s">
        <v>12</v>
      </c>
      <c r="J48" s="147">
        <v>0</v>
      </c>
      <c r="K48" s="71" t="s">
        <v>13</v>
      </c>
      <c r="L48" s="148">
        <v>0</v>
      </c>
      <c r="M48" s="223"/>
      <c r="N48" s="199" t="s">
        <v>9</v>
      </c>
      <c r="O48" s="199" t="s">
        <v>10</v>
      </c>
      <c r="P48" s="112" t="s">
        <v>9</v>
      </c>
      <c r="Q48" s="229" t="s">
        <v>11</v>
      </c>
      <c r="R48" s="229"/>
      <c r="S48" s="71" t="s">
        <v>12</v>
      </c>
      <c r="T48" s="147">
        <v>0</v>
      </c>
      <c r="U48" s="71" t="s">
        <v>13</v>
      </c>
      <c r="V48" s="148">
        <v>0</v>
      </c>
      <c r="W48" s="223"/>
      <c r="X48" s="199" t="s">
        <v>9</v>
      </c>
      <c r="Y48" s="199" t="s">
        <v>10</v>
      </c>
      <c r="Z48" s="112" t="s">
        <v>9</v>
      </c>
      <c r="AA48" s="229" t="s">
        <v>11</v>
      </c>
      <c r="AB48" s="229"/>
      <c r="AC48" s="71" t="s">
        <v>12</v>
      </c>
      <c r="AD48" s="147">
        <v>0</v>
      </c>
      <c r="AE48" s="71" t="s">
        <v>13</v>
      </c>
      <c r="AF48" s="148">
        <v>0</v>
      </c>
      <c r="AG48" s="223"/>
      <c r="AH48" s="199" t="s">
        <v>9</v>
      </c>
      <c r="AI48" s="199" t="s">
        <v>10</v>
      </c>
      <c r="AJ48" s="112" t="s">
        <v>9</v>
      </c>
      <c r="AK48" s="229" t="s">
        <v>11</v>
      </c>
      <c r="AL48" s="229"/>
      <c r="AM48" s="71" t="s">
        <v>12</v>
      </c>
      <c r="AN48" s="147">
        <v>0</v>
      </c>
      <c r="AO48" s="71" t="s">
        <v>13</v>
      </c>
      <c r="AP48" s="148">
        <v>0</v>
      </c>
    </row>
    <row r="49" spans="1:42" ht="28.5" customHeight="1">
      <c r="A49" s="132"/>
      <c r="B49" s="58">
        <v>111</v>
      </c>
      <c r="C49" s="230"/>
      <c r="D49" s="113" t="s">
        <v>16</v>
      </c>
      <c r="E49" s="58" t="s">
        <v>15</v>
      </c>
      <c r="F49" s="195" t="s">
        <v>16</v>
      </c>
      <c r="G49" s="69" t="s">
        <v>17</v>
      </c>
      <c r="H49" s="233"/>
      <c r="I49" s="233"/>
      <c r="J49" s="233"/>
      <c r="K49" s="69" t="s">
        <v>18</v>
      </c>
      <c r="L49" s="72"/>
      <c r="M49" s="230"/>
      <c r="N49" s="113" t="s">
        <v>16</v>
      </c>
      <c r="O49" s="58" t="s">
        <v>15</v>
      </c>
      <c r="P49" s="195" t="s">
        <v>16</v>
      </c>
      <c r="Q49" s="69" t="s">
        <v>17</v>
      </c>
      <c r="R49" s="233"/>
      <c r="S49" s="233"/>
      <c r="T49" s="233"/>
      <c r="U49" s="69" t="s">
        <v>18</v>
      </c>
      <c r="V49" s="72"/>
      <c r="W49" s="230"/>
      <c r="X49" s="113" t="s">
        <v>16</v>
      </c>
      <c r="Y49" s="58" t="s">
        <v>15</v>
      </c>
      <c r="Z49" s="195" t="s">
        <v>16</v>
      </c>
      <c r="AA49" s="69" t="s">
        <v>17</v>
      </c>
      <c r="AB49" s="233"/>
      <c r="AC49" s="233"/>
      <c r="AD49" s="233"/>
      <c r="AE49" s="69" t="s">
        <v>18</v>
      </c>
      <c r="AF49" s="72"/>
      <c r="AG49" s="230"/>
      <c r="AH49" s="113" t="s">
        <v>16</v>
      </c>
      <c r="AI49" s="58" t="s">
        <v>15</v>
      </c>
      <c r="AJ49" s="195" t="s">
        <v>16</v>
      </c>
      <c r="AK49" s="69" t="s">
        <v>17</v>
      </c>
      <c r="AL49" s="233"/>
      <c r="AM49" s="233"/>
      <c r="AN49" s="233"/>
      <c r="AO49" s="69" t="s">
        <v>18</v>
      </c>
      <c r="AP49" s="72"/>
    </row>
    <row r="50" spans="1:42" ht="28.5" customHeight="1" thickBot="1">
      <c r="B50" s="114" t="str">
        <f>VLOOKUP(B49,tablaequipo,4)</f>
        <v xml:space="preserve">Camion </v>
      </c>
      <c r="C50" s="231"/>
      <c r="D50" s="113" t="s">
        <v>19</v>
      </c>
      <c r="E50" s="58" t="s">
        <v>15</v>
      </c>
      <c r="F50" s="195" t="s">
        <v>19</v>
      </c>
      <c r="G50" s="146" t="s">
        <v>20</v>
      </c>
      <c r="H50" s="234"/>
      <c r="I50" s="234"/>
      <c r="J50" s="234"/>
      <c r="K50" s="234"/>
      <c r="L50" s="235"/>
      <c r="M50" s="231"/>
      <c r="N50" s="113" t="s">
        <v>19</v>
      </c>
      <c r="O50" s="58" t="s">
        <v>15</v>
      </c>
      <c r="P50" s="195" t="s">
        <v>19</v>
      </c>
      <c r="Q50" s="146" t="s">
        <v>20</v>
      </c>
      <c r="R50" s="234"/>
      <c r="S50" s="234"/>
      <c r="T50" s="234"/>
      <c r="U50" s="234"/>
      <c r="V50" s="235"/>
      <c r="W50" s="231"/>
      <c r="X50" s="113" t="s">
        <v>19</v>
      </c>
      <c r="Y50" s="58" t="s">
        <v>15</v>
      </c>
      <c r="Z50" s="195" t="s">
        <v>19</v>
      </c>
      <c r="AA50" s="146" t="s">
        <v>20</v>
      </c>
      <c r="AB50" s="234"/>
      <c r="AC50" s="234"/>
      <c r="AD50" s="234"/>
      <c r="AE50" s="234"/>
      <c r="AF50" s="235"/>
      <c r="AG50" s="231"/>
      <c r="AH50" s="113" t="s">
        <v>19</v>
      </c>
      <c r="AI50" s="58" t="s">
        <v>15</v>
      </c>
      <c r="AJ50" s="195" t="s">
        <v>19</v>
      </c>
      <c r="AK50" s="146" t="s">
        <v>20</v>
      </c>
      <c r="AL50" s="234"/>
      <c r="AM50" s="234"/>
      <c r="AN50" s="234"/>
      <c r="AO50" s="234"/>
      <c r="AP50" s="235"/>
    </row>
    <row r="51" spans="1:42" ht="28.5" customHeight="1" thickBot="1">
      <c r="B51" s="114" t="str">
        <f>VLOOKUP(B49,tablaequipo,6)</f>
        <v>IVECO</v>
      </c>
      <c r="C51" s="231"/>
      <c r="D51" s="113" t="s">
        <v>19</v>
      </c>
      <c r="E51" s="58" t="s">
        <v>15</v>
      </c>
      <c r="F51" s="177" t="s">
        <v>24</v>
      </c>
      <c r="G51" s="70" t="s">
        <v>21</v>
      </c>
      <c r="H51" s="236"/>
      <c r="I51" s="236"/>
      <c r="J51" s="236"/>
      <c r="K51" s="70" t="s">
        <v>22</v>
      </c>
      <c r="L51" s="68"/>
      <c r="M51" s="231"/>
      <c r="N51" s="113" t="s">
        <v>19</v>
      </c>
      <c r="O51" s="58" t="s">
        <v>15</v>
      </c>
      <c r="P51" s="177" t="s">
        <v>24</v>
      </c>
      <c r="Q51" s="70" t="s">
        <v>21</v>
      </c>
      <c r="R51" s="236"/>
      <c r="S51" s="236"/>
      <c r="T51" s="236"/>
      <c r="U51" s="70" t="s">
        <v>22</v>
      </c>
      <c r="V51" s="68"/>
      <c r="W51" s="231"/>
      <c r="X51" s="113" t="s">
        <v>19</v>
      </c>
      <c r="Y51" s="58" t="s">
        <v>15</v>
      </c>
      <c r="Z51" s="177" t="s">
        <v>24</v>
      </c>
      <c r="AA51" s="70" t="s">
        <v>21</v>
      </c>
      <c r="AB51" s="236"/>
      <c r="AC51" s="236"/>
      <c r="AD51" s="236"/>
      <c r="AE51" s="70" t="s">
        <v>22</v>
      </c>
      <c r="AF51" s="68"/>
      <c r="AG51" s="231"/>
      <c r="AH51" s="113" t="s">
        <v>19</v>
      </c>
      <c r="AI51" s="58" t="s">
        <v>15</v>
      </c>
      <c r="AJ51" s="177" t="s">
        <v>24</v>
      </c>
      <c r="AK51" s="70" t="s">
        <v>21</v>
      </c>
      <c r="AL51" s="236"/>
      <c r="AM51" s="236"/>
      <c r="AN51" s="236"/>
      <c r="AO51" s="70" t="s">
        <v>22</v>
      </c>
      <c r="AP51" s="68"/>
    </row>
    <row r="52" spans="1:42" ht="28.5" customHeight="1">
      <c r="B52" s="114" t="str">
        <f>VLOOKUP(B49,tablaequipo,7)</f>
        <v>DS - 240</v>
      </c>
      <c r="C52" s="231"/>
      <c r="D52" s="113" t="s">
        <v>19</v>
      </c>
      <c r="E52" s="58" t="s">
        <v>15</v>
      </c>
      <c r="F52" s="196" t="s">
        <v>16</v>
      </c>
      <c r="G52" s="146" t="s">
        <v>23</v>
      </c>
      <c r="H52" s="234"/>
      <c r="I52" s="234"/>
      <c r="J52" s="234"/>
      <c r="K52" s="234"/>
      <c r="L52" s="235"/>
      <c r="M52" s="231"/>
      <c r="N52" s="113" t="s">
        <v>19</v>
      </c>
      <c r="O52" s="58" t="s">
        <v>15</v>
      </c>
      <c r="P52" s="196" t="s">
        <v>16</v>
      </c>
      <c r="Q52" s="146" t="s">
        <v>23</v>
      </c>
      <c r="R52" s="234"/>
      <c r="S52" s="234"/>
      <c r="T52" s="234"/>
      <c r="U52" s="234"/>
      <c r="V52" s="235"/>
      <c r="W52" s="231"/>
      <c r="X52" s="113" t="s">
        <v>19</v>
      </c>
      <c r="Y52" s="58" t="s">
        <v>15</v>
      </c>
      <c r="Z52" s="196" t="s">
        <v>16</v>
      </c>
      <c r="AA52" s="146" t="s">
        <v>23</v>
      </c>
      <c r="AB52" s="234"/>
      <c r="AC52" s="234"/>
      <c r="AD52" s="234"/>
      <c r="AE52" s="234"/>
      <c r="AF52" s="235"/>
      <c r="AG52" s="231"/>
      <c r="AH52" s="113" t="s">
        <v>19</v>
      </c>
      <c r="AI52" s="58" t="s">
        <v>15</v>
      </c>
      <c r="AJ52" s="196" t="s">
        <v>16</v>
      </c>
      <c r="AK52" s="146" t="s">
        <v>23</v>
      </c>
      <c r="AL52" s="234"/>
      <c r="AM52" s="234"/>
      <c r="AN52" s="234"/>
      <c r="AO52" s="234"/>
      <c r="AP52" s="235"/>
    </row>
    <row r="53" spans="1:42" ht="28.5" customHeight="1" thickBot="1">
      <c r="B53" s="114" t="str">
        <f>VLOOKUP(B49,tablaequipo,8)</f>
        <v>AF009EJ</v>
      </c>
      <c r="C53" s="231"/>
      <c r="D53" s="113" t="s">
        <v>19</v>
      </c>
      <c r="E53" s="58" t="s">
        <v>15</v>
      </c>
      <c r="F53" s="196" t="s">
        <v>19</v>
      </c>
      <c r="G53" s="70" t="s">
        <v>21</v>
      </c>
      <c r="H53" s="236"/>
      <c r="I53" s="236"/>
      <c r="J53" s="236"/>
      <c r="K53" s="70" t="s">
        <v>22</v>
      </c>
      <c r="L53" s="68"/>
      <c r="M53" s="231"/>
      <c r="N53" s="113" t="s">
        <v>19</v>
      </c>
      <c r="O53" s="58" t="s">
        <v>15</v>
      </c>
      <c r="P53" s="196" t="s">
        <v>19</v>
      </c>
      <c r="Q53" s="70" t="s">
        <v>21</v>
      </c>
      <c r="R53" s="236"/>
      <c r="S53" s="236"/>
      <c r="T53" s="236"/>
      <c r="U53" s="70" t="s">
        <v>22</v>
      </c>
      <c r="V53" s="68"/>
      <c r="W53" s="231"/>
      <c r="X53" s="113" t="s">
        <v>19</v>
      </c>
      <c r="Y53" s="58" t="s">
        <v>15</v>
      </c>
      <c r="Z53" s="196" t="s">
        <v>19</v>
      </c>
      <c r="AA53" s="70" t="s">
        <v>21</v>
      </c>
      <c r="AB53" s="236"/>
      <c r="AC53" s="236"/>
      <c r="AD53" s="236"/>
      <c r="AE53" s="70" t="s">
        <v>22</v>
      </c>
      <c r="AF53" s="68"/>
      <c r="AG53" s="231"/>
      <c r="AH53" s="113" t="s">
        <v>19</v>
      </c>
      <c r="AI53" s="58" t="s">
        <v>15</v>
      </c>
      <c r="AJ53" s="196" t="s">
        <v>19</v>
      </c>
      <c r="AK53" s="70" t="s">
        <v>21</v>
      </c>
      <c r="AL53" s="236"/>
      <c r="AM53" s="236"/>
      <c r="AN53" s="236"/>
      <c r="AO53" s="70" t="s">
        <v>22</v>
      </c>
      <c r="AP53" s="68"/>
    </row>
    <row r="54" spans="1:42" ht="28.5" customHeight="1" thickBot="1">
      <c r="B54" s="121">
        <v>0</v>
      </c>
      <c r="C54" s="231"/>
      <c r="D54" s="113" t="s">
        <v>19</v>
      </c>
      <c r="E54" s="58" t="s">
        <v>15</v>
      </c>
      <c r="F54" s="186" t="s">
        <v>15</v>
      </c>
      <c r="G54" s="140" t="s">
        <v>25</v>
      </c>
      <c r="H54" s="237" t="s">
        <v>26</v>
      </c>
      <c r="I54" s="238"/>
      <c r="J54" s="140" t="s">
        <v>27</v>
      </c>
      <c r="K54" s="237" t="s">
        <v>28</v>
      </c>
      <c r="L54" s="239"/>
      <c r="M54" s="231"/>
      <c r="N54" s="113" t="s">
        <v>19</v>
      </c>
      <c r="O54" s="58" t="s">
        <v>15</v>
      </c>
      <c r="P54" s="186" t="s">
        <v>15</v>
      </c>
      <c r="Q54" s="140" t="s">
        <v>25</v>
      </c>
      <c r="R54" s="237" t="s">
        <v>26</v>
      </c>
      <c r="S54" s="238"/>
      <c r="T54" s="140" t="s">
        <v>27</v>
      </c>
      <c r="U54" s="237" t="s">
        <v>28</v>
      </c>
      <c r="V54" s="239"/>
      <c r="W54" s="231"/>
      <c r="X54" s="113" t="s">
        <v>19</v>
      </c>
      <c r="Y54" s="58" t="s">
        <v>15</v>
      </c>
      <c r="Z54" s="186" t="s">
        <v>15</v>
      </c>
      <c r="AA54" s="140" t="s">
        <v>25</v>
      </c>
      <c r="AB54" s="237" t="s">
        <v>26</v>
      </c>
      <c r="AC54" s="238"/>
      <c r="AD54" s="140" t="s">
        <v>27</v>
      </c>
      <c r="AE54" s="237" t="s">
        <v>28</v>
      </c>
      <c r="AF54" s="239"/>
      <c r="AG54" s="231"/>
      <c r="AH54" s="113" t="s">
        <v>19</v>
      </c>
      <c r="AI54" s="58" t="s">
        <v>15</v>
      </c>
      <c r="AJ54" s="186" t="s">
        <v>15</v>
      </c>
      <c r="AK54" s="140" t="s">
        <v>25</v>
      </c>
      <c r="AL54" s="237" t="s">
        <v>26</v>
      </c>
      <c r="AM54" s="238"/>
      <c r="AN54" s="140" t="s">
        <v>27</v>
      </c>
      <c r="AO54" s="237" t="s">
        <v>28</v>
      </c>
      <c r="AP54" s="239"/>
    </row>
    <row r="55" spans="1:42" ht="28.5" customHeight="1" thickBot="1">
      <c r="B55" s="122" t="str">
        <f>VLOOKUP(B54,tablapermiso,3)</f>
        <v>Seleccione Gestion</v>
      </c>
      <c r="C55" s="232"/>
      <c r="D55" s="113" t="s">
        <v>19</v>
      </c>
      <c r="E55" s="58" t="s">
        <v>15</v>
      </c>
      <c r="F55" s="187" t="str">
        <f>VLOOKUP(F54,tablatractor,3)</f>
        <v>Seleccione Equipo</v>
      </c>
      <c r="G55" s="141">
        <v>0</v>
      </c>
      <c r="H55" s="240" t="str">
        <f>VLOOKUP(G55,tablaestado,3)</f>
        <v>Seleccione Estado</v>
      </c>
      <c r="I55" s="240"/>
      <c r="J55" s="240"/>
      <c r="K55" s="240"/>
      <c r="L55" s="241"/>
      <c r="M55" s="232"/>
      <c r="N55" s="113" t="s">
        <v>19</v>
      </c>
      <c r="O55" s="58" t="s">
        <v>15</v>
      </c>
      <c r="P55" s="187" t="str">
        <f>VLOOKUP(P54,tablatractor,3)</f>
        <v>Seleccione Equipo</v>
      </c>
      <c r="Q55" s="141">
        <v>0</v>
      </c>
      <c r="R55" s="240" t="str">
        <f>VLOOKUP(Q55,tablaestado,3)</f>
        <v>Seleccione Estado</v>
      </c>
      <c r="S55" s="240"/>
      <c r="T55" s="240"/>
      <c r="U55" s="240"/>
      <c r="V55" s="241"/>
      <c r="W55" s="232"/>
      <c r="X55" s="113" t="s">
        <v>19</v>
      </c>
      <c r="Y55" s="58" t="s">
        <v>15</v>
      </c>
      <c r="Z55" s="187" t="str">
        <f>VLOOKUP(Z54,tablatractor,3)</f>
        <v>Seleccione Equipo</v>
      </c>
      <c r="AA55" s="141">
        <v>0</v>
      </c>
      <c r="AB55" s="240" t="str">
        <f>VLOOKUP(AA55,tablaestado,3)</f>
        <v>Seleccione Estado</v>
      </c>
      <c r="AC55" s="240"/>
      <c r="AD55" s="240"/>
      <c r="AE55" s="240"/>
      <c r="AF55" s="241"/>
      <c r="AG55" s="232"/>
      <c r="AH55" s="113" t="s">
        <v>19</v>
      </c>
      <c r="AI55" s="58" t="s">
        <v>15</v>
      </c>
      <c r="AJ55" s="187" t="str">
        <f>VLOOKUP(AJ54,tablatractor,3)</f>
        <v>Seleccione Equipo</v>
      </c>
      <c r="AK55" s="141">
        <v>0</v>
      </c>
      <c r="AL55" s="240" t="str">
        <f>VLOOKUP(AK55,tablaestado,3)</f>
        <v>Seleccione Estado</v>
      </c>
      <c r="AM55" s="240"/>
      <c r="AN55" s="240"/>
      <c r="AO55" s="240"/>
      <c r="AP55" s="241"/>
    </row>
    <row r="56" spans="1:42" ht="28.5" customHeight="1" thickBot="1">
      <c r="B56" s="251" t="s">
        <v>1</v>
      </c>
      <c r="C56" s="222" t="s">
        <v>2</v>
      </c>
      <c r="D56" s="112" t="s">
        <v>3</v>
      </c>
      <c r="E56" s="224" t="s">
        <v>4</v>
      </c>
      <c r="F56" s="225"/>
      <c r="G56" s="226" t="s">
        <v>5</v>
      </c>
      <c r="H56" s="227"/>
      <c r="I56" s="227"/>
      <c r="J56" s="227"/>
      <c r="K56" s="227"/>
      <c r="L56" s="228"/>
      <c r="M56" s="222" t="s">
        <v>2</v>
      </c>
      <c r="N56" s="112" t="s">
        <v>3</v>
      </c>
      <c r="O56" s="224" t="s">
        <v>4</v>
      </c>
      <c r="P56" s="225"/>
      <c r="Q56" s="226" t="s">
        <v>6</v>
      </c>
      <c r="R56" s="227"/>
      <c r="S56" s="227"/>
      <c r="T56" s="227"/>
      <c r="U56" s="227"/>
      <c r="V56" s="228"/>
      <c r="W56" s="222" t="s">
        <v>2</v>
      </c>
      <c r="X56" s="112" t="s">
        <v>3</v>
      </c>
      <c r="Y56" s="224" t="s">
        <v>4</v>
      </c>
      <c r="Z56" s="225"/>
      <c r="AA56" s="226" t="s">
        <v>7</v>
      </c>
      <c r="AB56" s="227"/>
      <c r="AC56" s="227"/>
      <c r="AD56" s="227"/>
      <c r="AE56" s="227"/>
      <c r="AF56" s="228"/>
      <c r="AG56" s="222" t="s">
        <v>2</v>
      </c>
      <c r="AH56" s="112" t="s">
        <v>3</v>
      </c>
      <c r="AI56" s="224" t="s">
        <v>4</v>
      </c>
      <c r="AJ56" s="225"/>
      <c r="AK56" s="226" t="s">
        <v>8</v>
      </c>
      <c r="AL56" s="227"/>
      <c r="AM56" s="227"/>
      <c r="AN56" s="227"/>
      <c r="AO56" s="227"/>
      <c r="AP56" s="228"/>
    </row>
    <row r="57" spans="1:42" ht="28.5" customHeight="1" thickBot="1">
      <c r="B57" s="252"/>
      <c r="C57" s="223"/>
      <c r="D57" s="199" t="s">
        <v>9</v>
      </c>
      <c r="E57" s="199" t="s">
        <v>10</v>
      </c>
      <c r="F57" s="112" t="s">
        <v>9</v>
      </c>
      <c r="G57" s="229" t="s">
        <v>11</v>
      </c>
      <c r="H57" s="229"/>
      <c r="I57" s="71" t="s">
        <v>12</v>
      </c>
      <c r="J57" s="147">
        <v>0</v>
      </c>
      <c r="K57" s="71" t="s">
        <v>13</v>
      </c>
      <c r="L57" s="148">
        <v>0</v>
      </c>
      <c r="M57" s="223"/>
      <c r="N57" s="199" t="s">
        <v>9</v>
      </c>
      <c r="O57" s="199" t="s">
        <v>10</v>
      </c>
      <c r="P57" s="112" t="s">
        <v>9</v>
      </c>
      <c r="Q57" s="229" t="s">
        <v>11</v>
      </c>
      <c r="R57" s="229"/>
      <c r="S57" s="71" t="s">
        <v>12</v>
      </c>
      <c r="T57" s="147">
        <v>0</v>
      </c>
      <c r="U57" s="71" t="s">
        <v>13</v>
      </c>
      <c r="V57" s="148">
        <v>0</v>
      </c>
      <c r="W57" s="223"/>
      <c r="X57" s="199" t="s">
        <v>9</v>
      </c>
      <c r="Y57" s="199" t="s">
        <v>10</v>
      </c>
      <c r="Z57" s="112" t="s">
        <v>9</v>
      </c>
      <c r="AA57" s="229" t="s">
        <v>11</v>
      </c>
      <c r="AB57" s="229"/>
      <c r="AC57" s="71" t="s">
        <v>12</v>
      </c>
      <c r="AD57" s="147">
        <v>0</v>
      </c>
      <c r="AE57" s="71" t="s">
        <v>13</v>
      </c>
      <c r="AF57" s="148">
        <v>0</v>
      </c>
      <c r="AG57" s="223"/>
      <c r="AH57" s="199" t="s">
        <v>9</v>
      </c>
      <c r="AI57" s="199" t="s">
        <v>10</v>
      </c>
      <c r="AJ57" s="112" t="s">
        <v>9</v>
      </c>
      <c r="AK57" s="229" t="s">
        <v>11</v>
      </c>
      <c r="AL57" s="229"/>
      <c r="AM57" s="71" t="s">
        <v>12</v>
      </c>
      <c r="AN57" s="147">
        <v>0</v>
      </c>
      <c r="AO57" s="71" t="s">
        <v>13</v>
      </c>
      <c r="AP57" s="148">
        <v>0</v>
      </c>
    </row>
    <row r="58" spans="1:42" ht="28.5" customHeight="1">
      <c r="A58" s="132"/>
      <c r="B58" s="58" t="s">
        <v>33</v>
      </c>
      <c r="C58" s="230"/>
      <c r="D58" s="113" t="s">
        <v>16</v>
      </c>
      <c r="E58" s="58" t="s">
        <v>15</v>
      </c>
      <c r="F58" s="195" t="s">
        <v>16</v>
      </c>
      <c r="G58" s="69" t="s">
        <v>17</v>
      </c>
      <c r="H58" s="233"/>
      <c r="I58" s="233"/>
      <c r="J58" s="233"/>
      <c r="K58" s="69" t="s">
        <v>18</v>
      </c>
      <c r="L58" s="72"/>
      <c r="M58" s="230"/>
      <c r="N58" s="113" t="s">
        <v>16</v>
      </c>
      <c r="O58" s="58" t="s">
        <v>15</v>
      </c>
      <c r="P58" s="195" t="s">
        <v>16</v>
      </c>
      <c r="Q58" s="69" t="s">
        <v>17</v>
      </c>
      <c r="R58" s="233"/>
      <c r="S58" s="233"/>
      <c r="T58" s="233"/>
      <c r="U58" s="69" t="s">
        <v>18</v>
      </c>
      <c r="V58" s="72"/>
      <c r="W58" s="230"/>
      <c r="X58" s="113" t="s">
        <v>16</v>
      </c>
      <c r="Y58" s="58" t="s">
        <v>15</v>
      </c>
      <c r="Z58" s="195" t="s">
        <v>16</v>
      </c>
      <c r="AA58" s="69" t="s">
        <v>17</v>
      </c>
      <c r="AB58" s="233"/>
      <c r="AC58" s="233"/>
      <c r="AD58" s="233"/>
      <c r="AE58" s="69" t="s">
        <v>18</v>
      </c>
      <c r="AF58" s="72"/>
      <c r="AG58" s="230"/>
      <c r="AH58" s="113" t="s">
        <v>16</v>
      </c>
      <c r="AI58" s="58" t="s">
        <v>15</v>
      </c>
      <c r="AJ58" s="195" t="s">
        <v>16</v>
      </c>
      <c r="AK58" s="69" t="s">
        <v>17</v>
      </c>
      <c r="AL58" s="233"/>
      <c r="AM58" s="233"/>
      <c r="AN58" s="233"/>
      <c r="AO58" s="69" t="s">
        <v>18</v>
      </c>
      <c r="AP58" s="72"/>
    </row>
    <row r="59" spans="1:42" ht="28.5" customHeight="1" thickBot="1">
      <c r="B59" s="114" t="str">
        <f>VLOOKUP(B58,tablaequipo,4)</f>
        <v xml:space="preserve">Camion </v>
      </c>
      <c r="C59" s="231"/>
      <c r="D59" s="113" t="s">
        <v>19</v>
      </c>
      <c r="E59" s="58" t="s">
        <v>15</v>
      </c>
      <c r="F59" s="195" t="s">
        <v>19</v>
      </c>
      <c r="G59" s="146" t="s">
        <v>20</v>
      </c>
      <c r="H59" s="234"/>
      <c r="I59" s="234"/>
      <c r="J59" s="234"/>
      <c r="K59" s="234"/>
      <c r="L59" s="235"/>
      <c r="M59" s="231"/>
      <c r="N59" s="113" t="s">
        <v>19</v>
      </c>
      <c r="O59" s="58" t="s">
        <v>15</v>
      </c>
      <c r="P59" s="195" t="s">
        <v>19</v>
      </c>
      <c r="Q59" s="146" t="s">
        <v>20</v>
      </c>
      <c r="R59" s="234"/>
      <c r="S59" s="234"/>
      <c r="T59" s="234"/>
      <c r="U59" s="234"/>
      <c r="V59" s="235"/>
      <c r="W59" s="231"/>
      <c r="X59" s="113" t="s">
        <v>19</v>
      </c>
      <c r="Y59" s="58" t="s">
        <v>15</v>
      </c>
      <c r="Z59" s="195" t="s">
        <v>19</v>
      </c>
      <c r="AA59" s="146" t="s">
        <v>20</v>
      </c>
      <c r="AB59" s="234"/>
      <c r="AC59" s="234"/>
      <c r="AD59" s="234"/>
      <c r="AE59" s="234"/>
      <c r="AF59" s="235"/>
      <c r="AG59" s="231"/>
      <c r="AH59" s="113" t="s">
        <v>19</v>
      </c>
      <c r="AI59" s="58" t="s">
        <v>15</v>
      </c>
      <c r="AJ59" s="195" t="s">
        <v>19</v>
      </c>
      <c r="AK59" s="146" t="s">
        <v>20</v>
      </c>
      <c r="AL59" s="234"/>
      <c r="AM59" s="234"/>
      <c r="AN59" s="234"/>
      <c r="AO59" s="234"/>
      <c r="AP59" s="235"/>
    </row>
    <row r="60" spans="1:42" ht="28.5" customHeight="1" thickBot="1">
      <c r="B60" s="114" t="str">
        <f>VLOOKUP(B58,tablaequipo,6)</f>
        <v>IVECO</v>
      </c>
      <c r="C60" s="231"/>
      <c r="D60" s="113" t="s">
        <v>19</v>
      </c>
      <c r="E60" s="58" t="s">
        <v>15</v>
      </c>
      <c r="F60" s="177" t="s">
        <v>24</v>
      </c>
      <c r="G60" s="70" t="s">
        <v>21</v>
      </c>
      <c r="H60" s="236"/>
      <c r="I60" s="236"/>
      <c r="J60" s="236"/>
      <c r="K60" s="70" t="s">
        <v>22</v>
      </c>
      <c r="L60" s="68"/>
      <c r="M60" s="231"/>
      <c r="N60" s="113" t="s">
        <v>19</v>
      </c>
      <c r="O60" s="58" t="s">
        <v>15</v>
      </c>
      <c r="P60" s="177" t="s">
        <v>24</v>
      </c>
      <c r="Q60" s="70" t="s">
        <v>21</v>
      </c>
      <c r="R60" s="236"/>
      <c r="S60" s="236"/>
      <c r="T60" s="236"/>
      <c r="U60" s="70" t="s">
        <v>22</v>
      </c>
      <c r="V60" s="68"/>
      <c r="W60" s="231"/>
      <c r="X60" s="113" t="s">
        <v>19</v>
      </c>
      <c r="Y60" s="58" t="s">
        <v>15</v>
      </c>
      <c r="Z60" s="177" t="s">
        <v>24</v>
      </c>
      <c r="AA60" s="70" t="s">
        <v>21</v>
      </c>
      <c r="AB60" s="236"/>
      <c r="AC60" s="236"/>
      <c r="AD60" s="236"/>
      <c r="AE60" s="70" t="s">
        <v>22</v>
      </c>
      <c r="AF60" s="68"/>
      <c r="AG60" s="231"/>
      <c r="AH60" s="113" t="s">
        <v>19</v>
      </c>
      <c r="AI60" s="58" t="s">
        <v>15</v>
      </c>
      <c r="AJ60" s="177" t="s">
        <v>24</v>
      </c>
      <c r="AK60" s="70" t="s">
        <v>21</v>
      </c>
      <c r="AL60" s="236"/>
      <c r="AM60" s="236"/>
      <c r="AN60" s="236"/>
      <c r="AO60" s="70" t="s">
        <v>22</v>
      </c>
      <c r="AP60" s="68"/>
    </row>
    <row r="61" spans="1:42" ht="28.5" customHeight="1">
      <c r="B61" s="114" t="str">
        <f>VLOOKUP(B58,tablaequipo,7)</f>
        <v>TECTOR 240</v>
      </c>
      <c r="C61" s="231"/>
      <c r="D61" s="113" t="s">
        <v>19</v>
      </c>
      <c r="E61" s="58" t="s">
        <v>15</v>
      </c>
      <c r="F61" s="196" t="s">
        <v>16</v>
      </c>
      <c r="G61" s="146" t="s">
        <v>23</v>
      </c>
      <c r="H61" s="234"/>
      <c r="I61" s="234"/>
      <c r="J61" s="234"/>
      <c r="K61" s="234"/>
      <c r="L61" s="235"/>
      <c r="M61" s="231"/>
      <c r="N61" s="113" t="s">
        <v>19</v>
      </c>
      <c r="O61" s="58" t="s">
        <v>15</v>
      </c>
      <c r="P61" s="196" t="s">
        <v>16</v>
      </c>
      <c r="Q61" s="146" t="s">
        <v>23</v>
      </c>
      <c r="R61" s="234"/>
      <c r="S61" s="234"/>
      <c r="T61" s="234"/>
      <c r="U61" s="234"/>
      <c r="V61" s="235"/>
      <c r="W61" s="231"/>
      <c r="X61" s="113" t="s">
        <v>19</v>
      </c>
      <c r="Y61" s="58" t="s">
        <v>15</v>
      </c>
      <c r="Z61" s="196" t="s">
        <v>16</v>
      </c>
      <c r="AA61" s="146" t="s">
        <v>23</v>
      </c>
      <c r="AB61" s="234"/>
      <c r="AC61" s="234"/>
      <c r="AD61" s="234"/>
      <c r="AE61" s="234"/>
      <c r="AF61" s="235"/>
      <c r="AG61" s="231"/>
      <c r="AH61" s="113" t="s">
        <v>19</v>
      </c>
      <c r="AI61" s="58" t="s">
        <v>15</v>
      </c>
      <c r="AJ61" s="196" t="s">
        <v>16</v>
      </c>
      <c r="AK61" s="146" t="s">
        <v>23</v>
      </c>
      <c r="AL61" s="234"/>
      <c r="AM61" s="234"/>
      <c r="AN61" s="234"/>
      <c r="AO61" s="234"/>
      <c r="AP61" s="235"/>
    </row>
    <row r="62" spans="1:42" ht="28.5" customHeight="1" thickBot="1">
      <c r="B62" s="114" t="str">
        <f>VLOOKUP(B58,tablaequipo,8)</f>
        <v>AG368PJ</v>
      </c>
      <c r="C62" s="231"/>
      <c r="D62" s="113" t="s">
        <v>19</v>
      </c>
      <c r="E62" s="58" t="s">
        <v>15</v>
      </c>
      <c r="F62" s="196" t="s">
        <v>19</v>
      </c>
      <c r="G62" s="70" t="s">
        <v>21</v>
      </c>
      <c r="H62" s="236"/>
      <c r="I62" s="236"/>
      <c r="J62" s="236"/>
      <c r="K62" s="70" t="s">
        <v>22</v>
      </c>
      <c r="L62" s="68"/>
      <c r="M62" s="231"/>
      <c r="N62" s="113" t="s">
        <v>19</v>
      </c>
      <c r="O62" s="58" t="s">
        <v>15</v>
      </c>
      <c r="P62" s="196" t="s">
        <v>19</v>
      </c>
      <c r="Q62" s="70" t="s">
        <v>21</v>
      </c>
      <c r="R62" s="236"/>
      <c r="S62" s="236"/>
      <c r="T62" s="236"/>
      <c r="U62" s="70" t="s">
        <v>22</v>
      </c>
      <c r="V62" s="68"/>
      <c r="W62" s="231"/>
      <c r="X62" s="113" t="s">
        <v>19</v>
      </c>
      <c r="Y62" s="58" t="s">
        <v>15</v>
      </c>
      <c r="Z62" s="196" t="s">
        <v>19</v>
      </c>
      <c r="AA62" s="70" t="s">
        <v>21</v>
      </c>
      <c r="AB62" s="236"/>
      <c r="AC62" s="236"/>
      <c r="AD62" s="236"/>
      <c r="AE62" s="70" t="s">
        <v>22</v>
      </c>
      <c r="AF62" s="68"/>
      <c r="AG62" s="231"/>
      <c r="AH62" s="113" t="s">
        <v>19</v>
      </c>
      <c r="AI62" s="58" t="s">
        <v>15</v>
      </c>
      <c r="AJ62" s="196" t="s">
        <v>19</v>
      </c>
      <c r="AK62" s="70" t="s">
        <v>21</v>
      </c>
      <c r="AL62" s="236"/>
      <c r="AM62" s="236"/>
      <c r="AN62" s="236"/>
      <c r="AO62" s="70" t="s">
        <v>22</v>
      </c>
      <c r="AP62" s="68"/>
    </row>
    <row r="63" spans="1:42" ht="28.5" customHeight="1" thickBot="1">
      <c r="B63" s="121">
        <v>0</v>
      </c>
      <c r="C63" s="231"/>
      <c r="D63" s="113" t="s">
        <v>19</v>
      </c>
      <c r="E63" s="58" t="s">
        <v>15</v>
      </c>
      <c r="F63" s="186" t="s">
        <v>15</v>
      </c>
      <c r="G63" s="140" t="s">
        <v>25</v>
      </c>
      <c r="H63" s="237" t="s">
        <v>26</v>
      </c>
      <c r="I63" s="238"/>
      <c r="J63" s="140" t="s">
        <v>27</v>
      </c>
      <c r="K63" s="237" t="s">
        <v>28</v>
      </c>
      <c r="L63" s="239"/>
      <c r="M63" s="231"/>
      <c r="N63" s="113" t="s">
        <v>19</v>
      </c>
      <c r="O63" s="58" t="s">
        <v>15</v>
      </c>
      <c r="P63" s="186" t="s">
        <v>15</v>
      </c>
      <c r="Q63" s="140" t="s">
        <v>25</v>
      </c>
      <c r="R63" s="237" t="s">
        <v>26</v>
      </c>
      <c r="S63" s="238"/>
      <c r="T63" s="140" t="s">
        <v>27</v>
      </c>
      <c r="U63" s="237" t="s">
        <v>28</v>
      </c>
      <c r="V63" s="239"/>
      <c r="W63" s="231"/>
      <c r="X63" s="113" t="s">
        <v>19</v>
      </c>
      <c r="Y63" s="58" t="s">
        <v>15</v>
      </c>
      <c r="Z63" s="186" t="s">
        <v>15</v>
      </c>
      <c r="AA63" s="140" t="s">
        <v>25</v>
      </c>
      <c r="AB63" s="237" t="s">
        <v>26</v>
      </c>
      <c r="AC63" s="238"/>
      <c r="AD63" s="140" t="s">
        <v>27</v>
      </c>
      <c r="AE63" s="237" t="s">
        <v>28</v>
      </c>
      <c r="AF63" s="239"/>
      <c r="AG63" s="231"/>
      <c r="AH63" s="113" t="s">
        <v>19</v>
      </c>
      <c r="AI63" s="58" t="s">
        <v>15</v>
      </c>
      <c r="AJ63" s="186" t="s">
        <v>15</v>
      </c>
      <c r="AK63" s="140" t="s">
        <v>25</v>
      </c>
      <c r="AL63" s="237" t="s">
        <v>26</v>
      </c>
      <c r="AM63" s="238"/>
      <c r="AN63" s="140" t="s">
        <v>27</v>
      </c>
      <c r="AO63" s="237" t="s">
        <v>28</v>
      </c>
      <c r="AP63" s="239"/>
    </row>
    <row r="64" spans="1:42" ht="28.5" customHeight="1" thickBot="1">
      <c r="B64" s="122" t="str">
        <f>VLOOKUP(B63,tablapermiso,3)</f>
        <v>Seleccione Gestion</v>
      </c>
      <c r="C64" s="232"/>
      <c r="D64" s="113" t="s">
        <v>19</v>
      </c>
      <c r="E64" s="58" t="s">
        <v>15</v>
      </c>
      <c r="F64" s="187" t="str">
        <f>VLOOKUP(F63,tablatractor,3)</f>
        <v>Seleccione Equipo</v>
      </c>
      <c r="G64" s="141">
        <v>0</v>
      </c>
      <c r="H64" s="240" t="str">
        <f>VLOOKUP(G64,tablaestado,3)</f>
        <v>Seleccione Estado</v>
      </c>
      <c r="I64" s="240"/>
      <c r="J64" s="240"/>
      <c r="K64" s="240"/>
      <c r="L64" s="241"/>
      <c r="M64" s="232"/>
      <c r="N64" s="113" t="s">
        <v>19</v>
      </c>
      <c r="O64" s="58" t="s">
        <v>15</v>
      </c>
      <c r="P64" s="187" t="str">
        <f>VLOOKUP(P63,tablatractor,3)</f>
        <v>Seleccione Equipo</v>
      </c>
      <c r="Q64" s="141">
        <v>0</v>
      </c>
      <c r="R64" s="240" t="str">
        <f>VLOOKUP(Q64,tablaestado,3)</f>
        <v>Seleccione Estado</v>
      </c>
      <c r="S64" s="240"/>
      <c r="T64" s="240"/>
      <c r="U64" s="240"/>
      <c r="V64" s="241"/>
      <c r="W64" s="232"/>
      <c r="X64" s="113" t="s">
        <v>19</v>
      </c>
      <c r="Y64" s="58" t="s">
        <v>15</v>
      </c>
      <c r="Z64" s="187" t="str">
        <f>VLOOKUP(Z63,tablatractor,3)</f>
        <v>Seleccione Equipo</v>
      </c>
      <c r="AA64" s="141">
        <v>0</v>
      </c>
      <c r="AB64" s="240" t="str">
        <f>VLOOKUP(AA64,tablaestado,3)</f>
        <v>Seleccione Estado</v>
      </c>
      <c r="AC64" s="240"/>
      <c r="AD64" s="240"/>
      <c r="AE64" s="240"/>
      <c r="AF64" s="241"/>
      <c r="AG64" s="232"/>
      <c r="AH64" s="113" t="s">
        <v>19</v>
      </c>
      <c r="AI64" s="58" t="s">
        <v>15</v>
      </c>
      <c r="AJ64" s="187" t="str">
        <f>VLOOKUP(AJ63,tablatractor,3)</f>
        <v>Seleccione Equipo</v>
      </c>
      <c r="AK64" s="141">
        <v>0</v>
      </c>
      <c r="AL64" s="240" t="str">
        <f>VLOOKUP(AK64,tablaestado,3)</f>
        <v>Seleccione Estado</v>
      </c>
      <c r="AM64" s="240"/>
      <c r="AN64" s="240"/>
      <c r="AO64" s="240"/>
      <c r="AP64" s="241"/>
    </row>
    <row r="65" spans="1:42" ht="28.5" customHeight="1" thickBot="1">
      <c r="B65" s="251" t="s">
        <v>1</v>
      </c>
      <c r="C65" s="222" t="s">
        <v>2</v>
      </c>
      <c r="D65" s="112" t="s">
        <v>3</v>
      </c>
      <c r="E65" s="224" t="s">
        <v>4</v>
      </c>
      <c r="F65" s="225"/>
      <c r="G65" s="226" t="s">
        <v>5</v>
      </c>
      <c r="H65" s="227"/>
      <c r="I65" s="227"/>
      <c r="J65" s="227"/>
      <c r="K65" s="227"/>
      <c r="L65" s="228"/>
      <c r="M65" s="222" t="s">
        <v>2</v>
      </c>
      <c r="N65" s="112" t="s">
        <v>3</v>
      </c>
      <c r="O65" s="224" t="s">
        <v>4</v>
      </c>
      <c r="P65" s="225"/>
      <c r="Q65" s="226" t="s">
        <v>6</v>
      </c>
      <c r="R65" s="227"/>
      <c r="S65" s="227"/>
      <c r="T65" s="227"/>
      <c r="U65" s="227"/>
      <c r="V65" s="228"/>
      <c r="W65" s="222" t="s">
        <v>2</v>
      </c>
      <c r="X65" s="112" t="s">
        <v>3</v>
      </c>
      <c r="Y65" s="224" t="s">
        <v>4</v>
      </c>
      <c r="Z65" s="225"/>
      <c r="AA65" s="226" t="s">
        <v>7</v>
      </c>
      <c r="AB65" s="227"/>
      <c r="AC65" s="227"/>
      <c r="AD65" s="227"/>
      <c r="AE65" s="227"/>
      <c r="AF65" s="228"/>
      <c r="AG65" s="222" t="s">
        <v>2</v>
      </c>
      <c r="AH65" s="112" t="s">
        <v>3</v>
      </c>
      <c r="AI65" s="224" t="s">
        <v>4</v>
      </c>
      <c r="AJ65" s="225"/>
      <c r="AK65" s="226" t="s">
        <v>8</v>
      </c>
      <c r="AL65" s="227"/>
      <c r="AM65" s="227"/>
      <c r="AN65" s="227"/>
      <c r="AO65" s="227"/>
      <c r="AP65" s="228"/>
    </row>
    <row r="66" spans="1:42" ht="28.5" customHeight="1" thickBot="1">
      <c r="B66" s="252"/>
      <c r="C66" s="223"/>
      <c r="D66" s="199" t="s">
        <v>9</v>
      </c>
      <c r="E66" s="199" t="s">
        <v>10</v>
      </c>
      <c r="F66" s="112" t="s">
        <v>9</v>
      </c>
      <c r="G66" s="229" t="s">
        <v>11</v>
      </c>
      <c r="H66" s="229"/>
      <c r="I66" s="71" t="s">
        <v>12</v>
      </c>
      <c r="J66" s="147">
        <v>0</v>
      </c>
      <c r="K66" s="71" t="s">
        <v>13</v>
      </c>
      <c r="L66" s="148">
        <v>0</v>
      </c>
      <c r="M66" s="223"/>
      <c r="N66" s="199" t="s">
        <v>9</v>
      </c>
      <c r="O66" s="199" t="s">
        <v>10</v>
      </c>
      <c r="P66" s="112" t="s">
        <v>9</v>
      </c>
      <c r="Q66" s="229" t="s">
        <v>11</v>
      </c>
      <c r="R66" s="229"/>
      <c r="S66" s="71" t="s">
        <v>12</v>
      </c>
      <c r="T66" s="147">
        <v>0</v>
      </c>
      <c r="U66" s="71" t="s">
        <v>13</v>
      </c>
      <c r="V66" s="148">
        <v>0</v>
      </c>
      <c r="W66" s="223"/>
      <c r="X66" s="199" t="s">
        <v>9</v>
      </c>
      <c r="Y66" s="199" t="s">
        <v>10</v>
      </c>
      <c r="Z66" s="112" t="s">
        <v>9</v>
      </c>
      <c r="AA66" s="229" t="s">
        <v>11</v>
      </c>
      <c r="AB66" s="229"/>
      <c r="AC66" s="71" t="s">
        <v>12</v>
      </c>
      <c r="AD66" s="147">
        <v>0</v>
      </c>
      <c r="AE66" s="71" t="s">
        <v>13</v>
      </c>
      <c r="AF66" s="148">
        <v>0</v>
      </c>
      <c r="AG66" s="223"/>
      <c r="AH66" s="199" t="s">
        <v>9</v>
      </c>
      <c r="AI66" s="199" t="s">
        <v>10</v>
      </c>
      <c r="AJ66" s="112" t="s">
        <v>9</v>
      </c>
      <c r="AK66" s="229" t="s">
        <v>11</v>
      </c>
      <c r="AL66" s="229"/>
      <c r="AM66" s="71" t="s">
        <v>12</v>
      </c>
      <c r="AN66" s="147">
        <v>0</v>
      </c>
      <c r="AO66" s="71" t="s">
        <v>13</v>
      </c>
      <c r="AP66" s="148">
        <v>0</v>
      </c>
    </row>
    <row r="67" spans="1:42" ht="28.5" customHeight="1">
      <c r="A67" s="132"/>
      <c r="B67" s="58" t="s">
        <v>34</v>
      </c>
      <c r="C67" s="230"/>
      <c r="D67" s="113" t="s">
        <v>16</v>
      </c>
      <c r="E67" s="58" t="s">
        <v>15</v>
      </c>
      <c r="F67" s="195" t="s">
        <v>16</v>
      </c>
      <c r="G67" s="69" t="s">
        <v>17</v>
      </c>
      <c r="H67" s="233"/>
      <c r="I67" s="233"/>
      <c r="J67" s="233"/>
      <c r="K67" s="69" t="s">
        <v>18</v>
      </c>
      <c r="L67" s="72"/>
      <c r="M67" s="230"/>
      <c r="N67" s="113" t="s">
        <v>16</v>
      </c>
      <c r="O67" s="58" t="s">
        <v>15</v>
      </c>
      <c r="P67" s="195" t="s">
        <v>16</v>
      </c>
      <c r="Q67" s="69" t="s">
        <v>17</v>
      </c>
      <c r="R67" s="233"/>
      <c r="S67" s="233"/>
      <c r="T67" s="233"/>
      <c r="U67" s="69" t="s">
        <v>18</v>
      </c>
      <c r="V67" s="72"/>
      <c r="W67" s="230"/>
      <c r="X67" s="113" t="s">
        <v>16</v>
      </c>
      <c r="Y67" s="58" t="s">
        <v>15</v>
      </c>
      <c r="Z67" s="195" t="s">
        <v>16</v>
      </c>
      <c r="AA67" s="69" t="s">
        <v>17</v>
      </c>
      <c r="AB67" s="233"/>
      <c r="AC67" s="233"/>
      <c r="AD67" s="233"/>
      <c r="AE67" s="69" t="s">
        <v>18</v>
      </c>
      <c r="AF67" s="72"/>
      <c r="AG67" s="230"/>
      <c r="AH67" s="113" t="s">
        <v>16</v>
      </c>
      <c r="AI67" s="58" t="s">
        <v>15</v>
      </c>
      <c r="AJ67" s="195" t="s">
        <v>16</v>
      </c>
      <c r="AK67" s="69" t="s">
        <v>17</v>
      </c>
      <c r="AL67" s="233"/>
      <c r="AM67" s="233"/>
      <c r="AN67" s="233"/>
      <c r="AO67" s="69" t="s">
        <v>18</v>
      </c>
      <c r="AP67" s="72"/>
    </row>
    <row r="68" spans="1:42" ht="28.5" customHeight="1" thickBot="1">
      <c r="B68" s="114" t="str">
        <f>VLOOKUP(B67,tablaequipo,4)</f>
        <v>Tractor</v>
      </c>
      <c r="C68" s="231"/>
      <c r="D68" s="113" t="s">
        <v>19</v>
      </c>
      <c r="E68" s="58" t="s">
        <v>15</v>
      </c>
      <c r="F68" s="195" t="s">
        <v>19</v>
      </c>
      <c r="G68" s="146" t="s">
        <v>20</v>
      </c>
      <c r="H68" s="234"/>
      <c r="I68" s="234"/>
      <c r="J68" s="234"/>
      <c r="K68" s="234"/>
      <c r="L68" s="235"/>
      <c r="M68" s="231"/>
      <c r="N68" s="113" t="s">
        <v>19</v>
      </c>
      <c r="O68" s="58" t="s">
        <v>15</v>
      </c>
      <c r="P68" s="195" t="s">
        <v>19</v>
      </c>
      <c r="Q68" s="146" t="s">
        <v>20</v>
      </c>
      <c r="R68" s="234"/>
      <c r="S68" s="234"/>
      <c r="T68" s="234"/>
      <c r="U68" s="234"/>
      <c r="V68" s="235"/>
      <c r="W68" s="231"/>
      <c r="X68" s="113" t="s">
        <v>19</v>
      </c>
      <c r="Y68" s="58" t="s">
        <v>15</v>
      </c>
      <c r="Z68" s="195" t="s">
        <v>19</v>
      </c>
      <c r="AA68" s="146" t="s">
        <v>20</v>
      </c>
      <c r="AB68" s="234"/>
      <c r="AC68" s="234"/>
      <c r="AD68" s="234"/>
      <c r="AE68" s="234"/>
      <c r="AF68" s="235"/>
      <c r="AG68" s="231"/>
      <c r="AH68" s="113" t="s">
        <v>19</v>
      </c>
      <c r="AI68" s="58" t="s">
        <v>15</v>
      </c>
      <c r="AJ68" s="195" t="s">
        <v>19</v>
      </c>
      <c r="AK68" s="146" t="s">
        <v>20</v>
      </c>
      <c r="AL68" s="234"/>
      <c r="AM68" s="234"/>
      <c r="AN68" s="234"/>
      <c r="AO68" s="234"/>
      <c r="AP68" s="235"/>
    </row>
    <row r="69" spans="1:42" ht="28.5" customHeight="1" thickBot="1">
      <c r="B69" s="114" t="str">
        <f>VLOOKUP(B67,tablaequipo,6)</f>
        <v>SCANIA</v>
      </c>
      <c r="C69" s="231"/>
      <c r="D69" s="113" t="s">
        <v>19</v>
      </c>
      <c r="E69" s="58" t="s">
        <v>15</v>
      </c>
      <c r="F69" s="177" t="s">
        <v>24</v>
      </c>
      <c r="G69" s="70" t="s">
        <v>21</v>
      </c>
      <c r="H69" s="236"/>
      <c r="I69" s="236"/>
      <c r="J69" s="236"/>
      <c r="K69" s="70" t="s">
        <v>22</v>
      </c>
      <c r="L69" s="68"/>
      <c r="M69" s="231"/>
      <c r="N69" s="113" t="s">
        <v>19</v>
      </c>
      <c r="O69" s="58" t="s">
        <v>15</v>
      </c>
      <c r="P69" s="177" t="s">
        <v>24</v>
      </c>
      <c r="Q69" s="70" t="s">
        <v>21</v>
      </c>
      <c r="R69" s="236"/>
      <c r="S69" s="236"/>
      <c r="T69" s="236"/>
      <c r="U69" s="70" t="s">
        <v>22</v>
      </c>
      <c r="V69" s="68"/>
      <c r="W69" s="231"/>
      <c r="X69" s="113" t="s">
        <v>19</v>
      </c>
      <c r="Y69" s="58" t="s">
        <v>15</v>
      </c>
      <c r="Z69" s="177" t="s">
        <v>24</v>
      </c>
      <c r="AA69" s="70" t="s">
        <v>21</v>
      </c>
      <c r="AB69" s="236"/>
      <c r="AC69" s="236"/>
      <c r="AD69" s="236"/>
      <c r="AE69" s="70" t="s">
        <v>22</v>
      </c>
      <c r="AF69" s="68"/>
      <c r="AG69" s="231"/>
      <c r="AH69" s="113" t="s">
        <v>19</v>
      </c>
      <c r="AI69" s="58" t="s">
        <v>15</v>
      </c>
      <c r="AJ69" s="177" t="s">
        <v>24</v>
      </c>
      <c r="AK69" s="70" t="s">
        <v>21</v>
      </c>
      <c r="AL69" s="236"/>
      <c r="AM69" s="236"/>
      <c r="AN69" s="236"/>
      <c r="AO69" s="70" t="s">
        <v>22</v>
      </c>
      <c r="AP69" s="68"/>
    </row>
    <row r="70" spans="1:42" ht="28.5" customHeight="1">
      <c r="B70" s="114" t="str">
        <f>VLOOKUP(B67,tablaequipo,7)</f>
        <v xml:space="preserve">G410 </v>
      </c>
      <c r="C70" s="231"/>
      <c r="D70" s="113" t="s">
        <v>19</v>
      </c>
      <c r="E70" s="58" t="s">
        <v>15</v>
      </c>
      <c r="F70" s="196" t="s">
        <v>16</v>
      </c>
      <c r="G70" s="146" t="s">
        <v>23</v>
      </c>
      <c r="H70" s="234"/>
      <c r="I70" s="234"/>
      <c r="J70" s="234"/>
      <c r="K70" s="234"/>
      <c r="L70" s="235"/>
      <c r="M70" s="231"/>
      <c r="N70" s="113" t="s">
        <v>19</v>
      </c>
      <c r="O70" s="58" t="s">
        <v>15</v>
      </c>
      <c r="P70" s="196" t="s">
        <v>16</v>
      </c>
      <c r="Q70" s="146" t="s">
        <v>23</v>
      </c>
      <c r="R70" s="234"/>
      <c r="S70" s="234"/>
      <c r="T70" s="234"/>
      <c r="U70" s="234"/>
      <c r="V70" s="235"/>
      <c r="W70" s="231"/>
      <c r="X70" s="113" t="s">
        <v>19</v>
      </c>
      <c r="Y70" s="58" t="s">
        <v>15</v>
      </c>
      <c r="Z70" s="196" t="s">
        <v>16</v>
      </c>
      <c r="AA70" s="146" t="s">
        <v>23</v>
      </c>
      <c r="AB70" s="234"/>
      <c r="AC70" s="234"/>
      <c r="AD70" s="234"/>
      <c r="AE70" s="234"/>
      <c r="AF70" s="235"/>
      <c r="AG70" s="231"/>
      <c r="AH70" s="113" t="s">
        <v>19</v>
      </c>
      <c r="AI70" s="58" t="s">
        <v>15</v>
      </c>
      <c r="AJ70" s="196" t="s">
        <v>16</v>
      </c>
      <c r="AK70" s="146" t="s">
        <v>23</v>
      </c>
      <c r="AL70" s="234"/>
      <c r="AM70" s="234"/>
      <c r="AN70" s="234"/>
      <c r="AO70" s="234"/>
      <c r="AP70" s="235"/>
    </row>
    <row r="71" spans="1:42" ht="28.5" customHeight="1" thickBot="1">
      <c r="B71" s="114" t="str">
        <f>VLOOKUP(B67,tablaequipo,8)</f>
        <v>PBA 177</v>
      </c>
      <c r="C71" s="231"/>
      <c r="D71" s="113" t="s">
        <v>19</v>
      </c>
      <c r="E71" s="58" t="s">
        <v>15</v>
      </c>
      <c r="F71" s="196" t="s">
        <v>19</v>
      </c>
      <c r="G71" s="70" t="s">
        <v>21</v>
      </c>
      <c r="H71" s="236"/>
      <c r="I71" s="236"/>
      <c r="J71" s="236"/>
      <c r="K71" s="70" t="s">
        <v>22</v>
      </c>
      <c r="L71" s="68"/>
      <c r="M71" s="231"/>
      <c r="N71" s="113" t="s">
        <v>19</v>
      </c>
      <c r="O71" s="58" t="s">
        <v>15</v>
      </c>
      <c r="P71" s="196" t="s">
        <v>19</v>
      </c>
      <c r="Q71" s="70" t="s">
        <v>21</v>
      </c>
      <c r="R71" s="236"/>
      <c r="S71" s="236"/>
      <c r="T71" s="236"/>
      <c r="U71" s="70" t="s">
        <v>22</v>
      </c>
      <c r="V71" s="68"/>
      <c r="W71" s="231"/>
      <c r="X71" s="113" t="s">
        <v>19</v>
      </c>
      <c r="Y71" s="58" t="s">
        <v>15</v>
      </c>
      <c r="Z71" s="196" t="s">
        <v>19</v>
      </c>
      <c r="AA71" s="70" t="s">
        <v>21</v>
      </c>
      <c r="AB71" s="236"/>
      <c r="AC71" s="236"/>
      <c r="AD71" s="236"/>
      <c r="AE71" s="70" t="s">
        <v>22</v>
      </c>
      <c r="AF71" s="68"/>
      <c r="AG71" s="231"/>
      <c r="AH71" s="113" t="s">
        <v>19</v>
      </c>
      <c r="AI71" s="58" t="s">
        <v>15</v>
      </c>
      <c r="AJ71" s="196" t="s">
        <v>19</v>
      </c>
      <c r="AK71" s="70" t="s">
        <v>21</v>
      </c>
      <c r="AL71" s="236"/>
      <c r="AM71" s="236"/>
      <c r="AN71" s="236"/>
      <c r="AO71" s="70" t="s">
        <v>22</v>
      </c>
      <c r="AP71" s="68"/>
    </row>
    <row r="72" spans="1:42" ht="28.5" customHeight="1" thickBot="1">
      <c r="B72" s="121">
        <v>0</v>
      </c>
      <c r="C72" s="231"/>
      <c r="D72" s="113" t="s">
        <v>19</v>
      </c>
      <c r="E72" s="58" t="s">
        <v>15</v>
      </c>
      <c r="F72" s="186" t="s">
        <v>35</v>
      </c>
      <c r="G72" s="140" t="s">
        <v>25</v>
      </c>
      <c r="H72" s="237" t="s">
        <v>26</v>
      </c>
      <c r="I72" s="238"/>
      <c r="J72" s="140" t="s">
        <v>27</v>
      </c>
      <c r="K72" s="237" t="s">
        <v>28</v>
      </c>
      <c r="L72" s="239"/>
      <c r="M72" s="231"/>
      <c r="N72" s="113" t="s">
        <v>19</v>
      </c>
      <c r="O72" s="58" t="s">
        <v>15</v>
      </c>
      <c r="P72" s="186" t="s">
        <v>15</v>
      </c>
      <c r="Q72" s="140" t="s">
        <v>25</v>
      </c>
      <c r="R72" s="237" t="s">
        <v>26</v>
      </c>
      <c r="S72" s="238"/>
      <c r="T72" s="140" t="s">
        <v>27</v>
      </c>
      <c r="U72" s="237" t="s">
        <v>28</v>
      </c>
      <c r="V72" s="239"/>
      <c r="W72" s="231"/>
      <c r="X72" s="113" t="s">
        <v>19</v>
      </c>
      <c r="Y72" s="58" t="s">
        <v>15</v>
      </c>
      <c r="Z72" s="186" t="s">
        <v>15</v>
      </c>
      <c r="AA72" s="140" t="s">
        <v>25</v>
      </c>
      <c r="AB72" s="237" t="s">
        <v>26</v>
      </c>
      <c r="AC72" s="238"/>
      <c r="AD72" s="140" t="s">
        <v>27</v>
      </c>
      <c r="AE72" s="237" t="s">
        <v>28</v>
      </c>
      <c r="AF72" s="239"/>
      <c r="AG72" s="231"/>
      <c r="AH72" s="113" t="s">
        <v>19</v>
      </c>
      <c r="AI72" s="58" t="s">
        <v>15</v>
      </c>
      <c r="AJ72" s="186" t="s">
        <v>15</v>
      </c>
      <c r="AK72" s="140" t="s">
        <v>25</v>
      </c>
      <c r="AL72" s="237" t="s">
        <v>26</v>
      </c>
      <c r="AM72" s="238"/>
      <c r="AN72" s="140" t="s">
        <v>27</v>
      </c>
      <c r="AO72" s="237" t="s">
        <v>28</v>
      </c>
      <c r="AP72" s="239"/>
    </row>
    <row r="73" spans="1:42" ht="28.5" customHeight="1" thickBot="1">
      <c r="B73" s="122" t="str">
        <f>VLOOKUP(B72,tablapermiso,3)</f>
        <v>Seleccione Gestion</v>
      </c>
      <c r="C73" s="232"/>
      <c r="D73" s="113" t="s">
        <v>19</v>
      </c>
      <c r="E73" s="58" t="s">
        <v>15</v>
      </c>
      <c r="F73" s="187" t="str">
        <f>VLOOKUP(F72,tablatractor,3)</f>
        <v>Carreton</v>
      </c>
      <c r="G73" s="141">
        <v>0</v>
      </c>
      <c r="H73" s="240" t="str">
        <f>VLOOKUP(G73,tablaestado,3)</f>
        <v>Seleccione Estado</v>
      </c>
      <c r="I73" s="240"/>
      <c r="J73" s="240"/>
      <c r="K73" s="240"/>
      <c r="L73" s="241"/>
      <c r="M73" s="232"/>
      <c r="N73" s="113" t="s">
        <v>19</v>
      </c>
      <c r="O73" s="58" t="s">
        <v>15</v>
      </c>
      <c r="P73" s="187" t="str">
        <f>VLOOKUP(P72,tablatractor,3)</f>
        <v>Seleccione Equipo</v>
      </c>
      <c r="Q73" s="141">
        <v>0</v>
      </c>
      <c r="R73" s="240" t="str">
        <f>VLOOKUP(Q73,tablaestado,3)</f>
        <v>Seleccione Estado</v>
      </c>
      <c r="S73" s="240"/>
      <c r="T73" s="240"/>
      <c r="U73" s="240"/>
      <c r="V73" s="241"/>
      <c r="W73" s="232"/>
      <c r="X73" s="113" t="s">
        <v>19</v>
      </c>
      <c r="Y73" s="58" t="s">
        <v>15</v>
      </c>
      <c r="Z73" s="187" t="str">
        <f>VLOOKUP(Z72,tablatractor,3)</f>
        <v>Seleccione Equipo</v>
      </c>
      <c r="AA73" s="141">
        <v>0</v>
      </c>
      <c r="AB73" s="240" t="str">
        <f>VLOOKUP(AA73,tablaestado,3)</f>
        <v>Seleccione Estado</v>
      </c>
      <c r="AC73" s="240"/>
      <c r="AD73" s="240"/>
      <c r="AE73" s="240"/>
      <c r="AF73" s="241"/>
      <c r="AG73" s="232"/>
      <c r="AH73" s="113" t="s">
        <v>19</v>
      </c>
      <c r="AI73" s="58" t="s">
        <v>15</v>
      </c>
      <c r="AJ73" s="187" t="str">
        <f>VLOOKUP(AJ72,tablatractor,3)</f>
        <v>Seleccione Equipo</v>
      </c>
      <c r="AK73" s="141">
        <v>0</v>
      </c>
      <c r="AL73" s="240" t="str">
        <f>VLOOKUP(AK73,tablaestado,3)</f>
        <v>Seleccione Estado</v>
      </c>
      <c r="AM73" s="240"/>
      <c r="AN73" s="240"/>
      <c r="AO73" s="240"/>
      <c r="AP73" s="241"/>
    </row>
    <row r="74" spans="1:42" ht="28.5" customHeight="1" thickBot="1">
      <c r="B74" s="251" t="s">
        <v>1</v>
      </c>
      <c r="C74" s="222" t="s">
        <v>2</v>
      </c>
      <c r="D74" s="112" t="s">
        <v>3</v>
      </c>
      <c r="E74" s="224" t="s">
        <v>4</v>
      </c>
      <c r="F74" s="225"/>
      <c r="G74" s="226" t="s">
        <v>5</v>
      </c>
      <c r="H74" s="227"/>
      <c r="I74" s="227"/>
      <c r="J74" s="227"/>
      <c r="K74" s="227"/>
      <c r="L74" s="228"/>
      <c r="M74" s="222" t="s">
        <v>2</v>
      </c>
      <c r="N74" s="112" t="s">
        <v>3</v>
      </c>
      <c r="O74" s="224" t="s">
        <v>4</v>
      </c>
      <c r="P74" s="225"/>
      <c r="Q74" s="226" t="s">
        <v>6</v>
      </c>
      <c r="R74" s="227"/>
      <c r="S74" s="227"/>
      <c r="T74" s="227"/>
      <c r="U74" s="227"/>
      <c r="V74" s="228"/>
      <c r="W74" s="222" t="s">
        <v>2</v>
      </c>
      <c r="X74" s="112" t="s">
        <v>3</v>
      </c>
      <c r="Y74" s="224" t="s">
        <v>4</v>
      </c>
      <c r="Z74" s="225"/>
      <c r="AA74" s="226" t="s">
        <v>7</v>
      </c>
      <c r="AB74" s="227"/>
      <c r="AC74" s="227"/>
      <c r="AD74" s="227"/>
      <c r="AE74" s="227"/>
      <c r="AF74" s="228"/>
      <c r="AG74" s="222" t="s">
        <v>2</v>
      </c>
      <c r="AH74" s="112" t="s">
        <v>3</v>
      </c>
      <c r="AI74" s="224" t="s">
        <v>4</v>
      </c>
      <c r="AJ74" s="225"/>
      <c r="AK74" s="226" t="s">
        <v>8</v>
      </c>
      <c r="AL74" s="227"/>
      <c r="AM74" s="227"/>
      <c r="AN74" s="227"/>
      <c r="AO74" s="227"/>
      <c r="AP74" s="228"/>
    </row>
    <row r="75" spans="1:42" ht="28.5" customHeight="1" thickBot="1">
      <c r="B75" s="252"/>
      <c r="C75" s="223"/>
      <c r="D75" s="199" t="s">
        <v>9</v>
      </c>
      <c r="E75" s="199" t="s">
        <v>10</v>
      </c>
      <c r="F75" s="112" t="s">
        <v>9</v>
      </c>
      <c r="G75" s="229" t="s">
        <v>11</v>
      </c>
      <c r="H75" s="229"/>
      <c r="I75" s="71" t="s">
        <v>12</v>
      </c>
      <c r="J75" s="147">
        <v>0</v>
      </c>
      <c r="K75" s="71" t="s">
        <v>13</v>
      </c>
      <c r="L75" s="148">
        <v>0</v>
      </c>
      <c r="M75" s="223"/>
      <c r="N75" s="199" t="s">
        <v>9</v>
      </c>
      <c r="O75" s="199" t="s">
        <v>10</v>
      </c>
      <c r="P75" s="112" t="s">
        <v>9</v>
      </c>
      <c r="Q75" s="229" t="s">
        <v>11</v>
      </c>
      <c r="R75" s="229"/>
      <c r="S75" s="71" t="s">
        <v>12</v>
      </c>
      <c r="T75" s="147">
        <v>0</v>
      </c>
      <c r="U75" s="71" t="s">
        <v>13</v>
      </c>
      <c r="V75" s="148">
        <v>0</v>
      </c>
      <c r="W75" s="223"/>
      <c r="X75" s="199" t="s">
        <v>9</v>
      </c>
      <c r="Y75" s="199" t="s">
        <v>10</v>
      </c>
      <c r="Z75" s="112" t="s">
        <v>9</v>
      </c>
      <c r="AA75" s="229" t="s">
        <v>11</v>
      </c>
      <c r="AB75" s="229"/>
      <c r="AC75" s="71" t="s">
        <v>12</v>
      </c>
      <c r="AD75" s="147">
        <v>0</v>
      </c>
      <c r="AE75" s="71" t="s">
        <v>13</v>
      </c>
      <c r="AF75" s="148">
        <v>0</v>
      </c>
      <c r="AG75" s="223"/>
      <c r="AH75" s="199" t="s">
        <v>9</v>
      </c>
      <c r="AI75" s="199" t="s">
        <v>10</v>
      </c>
      <c r="AJ75" s="112" t="s">
        <v>9</v>
      </c>
      <c r="AK75" s="229" t="s">
        <v>11</v>
      </c>
      <c r="AL75" s="229"/>
      <c r="AM75" s="71" t="s">
        <v>12</v>
      </c>
      <c r="AN75" s="147">
        <v>0</v>
      </c>
      <c r="AO75" s="71" t="s">
        <v>13</v>
      </c>
      <c r="AP75" s="148">
        <v>0</v>
      </c>
    </row>
    <row r="76" spans="1:42" ht="28.5" customHeight="1">
      <c r="A76" s="132"/>
      <c r="B76" s="58" t="s">
        <v>36</v>
      </c>
      <c r="C76" s="230"/>
      <c r="D76" s="113" t="s">
        <v>16</v>
      </c>
      <c r="E76" s="58" t="s">
        <v>15</v>
      </c>
      <c r="F76" s="195" t="s">
        <v>16</v>
      </c>
      <c r="G76" s="69" t="s">
        <v>17</v>
      </c>
      <c r="H76" s="233"/>
      <c r="I76" s="233"/>
      <c r="J76" s="233"/>
      <c r="K76" s="69" t="s">
        <v>18</v>
      </c>
      <c r="L76" s="72"/>
      <c r="M76" s="230"/>
      <c r="N76" s="113" t="s">
        <v>16</v>
      </c>
      <c r="O76" s="58" t="s">
        <v>15</v>
      </c>
      <c r="P76" s="195" t="s">
        <v>16</v>
      </c>
      <c r="Q76" s="69" t="s">
        <v>17</v>
      </c>
      <c r="R76" s="233"/>
      <c r="S76" s="233"/>
      <c r="T76" s="233"/>
      <c r="U76" s="69" t="s">
        <v>18</v>
      </c>
      <c r="V76" s="72"/>
      <c r="W76" s="230"/>
      <c r="X76" s="113" t="s">
        <v>16</v>
      </c>
      <c r="Y76" s="58" t="s">
        <v>15</v>
      </c>
      <c r="Z76" s="195" t="s">
        <v>16</v>
      </c>
      <c r="AA76" s="69" t="s">
        <v>17</v>
      </c>
      <c r="AB76" s="233"/>
      <c r="AC76" s="233"/>
      <c r="AD76" s="233"/>
      <c r="AE76" s="69" t="s">
        <v>18</v>
      </c>
      <c r="AF76" s="72"/>
      <c r="AG76" s="230"/>
      <c r="AH76" s="113" t="s">
        <v>16</v>
      </c>
      <c r="AI76" s="58" t="s">
        <v>15</v>
      </c>
      <c r="AJ76" s="195" t="s">
        <v>16</v>
      </c>
      <c r="AK76" s="69" t="s">
        <v>17</v>
      </c>
      <c r="AL76" s="233"/>
      <c r="AM76" s="233"/>
      <c r="AN76" s="233"/>
      <c r="AO76" s="69" t="s">
        <v>18</v>
      </c>
      <c r="AP76" s="72"/>
    </row>
    <row r="77" spans="1:42" ht="28.5" customHeight="1" thickBot="1">
      <c r="B77" s="114" t="str">
        <f>VLOOKUP(B76,tablaequipo,4)</f>
        <v>Tractor</v>
      </c>
      <c r="C77" s="231"/>
      <c r="D77" s="113" t="s">
        <v>19</v>
      </c>
      <c r="E77" s="58" t="s">
        <v>15</v>
      </c>
      <c r="F77" s="195" t="s">
        <v>19</v>
      </c>
      <c r="G77" s="146" t="s">
        <v>20</v>
      </c>
      <c r="H77" s="234"/>
      <c r="I77" s="234"/>
      <c r="J77" s="234"/>
      <c r="K77" s="234"/>
      <c r="L77" s="235"/>
      <c r="M77" s="231"/>
      <c r="N77" s="113" t="s">
        <v>19</v>
      </c>
      <c r="O77" s="58" t="s">
        <v>15</v>
      </c>
      <c r="P77" s="195" t="s">
        <v>19</v>
      </c>
      <c r="Q77" s="146" t="s">
        <v>20</v>
      </c>
      <c r="R77" s="234"/>
      <c r="S77" s="234"/>
      <c r="T77" s="234"/>
      <c r="U77" s="234"/>
      <c r="V77" s="235"/>
      <c r="W77" s="231"/>
      <c r="X77" s="113" t="s">
        <v>19</v>
      </c>
      <c r="Y77" s="58" t="s">
        <v>15</v>
      </c>
      <c r="Z77" s="195" t="s">
        <v>19</v>
      </c>
      <c r="AA77" s="146" t="s">
        <v>20</v>
      </c>
      <c r="AB77" s="234"/>
      <c r="AC77" s="234"/>
      <c r="AD77" s="234"/>
      <c r="AE77" s="234"/>
      <c r="AF77" s="235"/>
      <c r="AG77" s="231"/>
      <c r="AH77" s="113" t="s">
        <v>19</v>
      </c>
      <c r="AI77" s="58" t="s">
        <v>15</v>
      </c>
      <c r="AJ77" s="195" t="s">
        <v>19</v>
      </c>
      <c r="AK77" s="146" t="s">
        <v>20</v>
      </c>
      <c r="AL77" s="234"/>
      <c r="AM77" s="234"/>
      <c r="AN77" s="234"/>
      <c r="AO77" s="234"/>
      <c r="AP77" s="235"/>
    </row>
    <row r="78" spans="1:42" ht="28.5" customHeight="1" thickBot="1">
      <c r="B78" s="114" t="str">
        <f>VLOOKUP(B76,tablaequipo,6)</f>
        <v>IVECO</v>
      </c>
      <c r="C78" s="231"/>
      <c r="D78" s="113" t="s">
        <v>19</v>
      </c>
      <c r="E78" s="58" t="s">
        <v>15</v>
      </c>
      <c r="F78" s="177" t="s">
        <v>24</v>
      </c>
      <c r="G78" s="70" t="s">
        <v>21</v>
      </c>
      <c r="H78" s="236"/>
      <c r="I78" s="236"/>
      <c r="J78" s="236"/>
      <c r="K78" s="70" t="s">
        <v>22</v>
      </c>
      <c r="L78" s="68"/>
      <c r="M78" s="231"/>
      <c r="N78" s="113" t="s">
        <v>19</v>
      </c>
      <c r="O78" s="58" t="s">
        <v>15</v>
      </c>
      <c r="P78" s="177" t="s">
        <v>24</v>
      </c>
      <c r="Q78" s="70" t="s">
        <v>21</v>
      </c>
      <c r="R78" s="236"/>
      <c r="S78" s="236"/>
      <c r="T78" s="236"/>
      <c r="U78" s="70" t="s">
        <v>22</v>
      </c>
      <c r="V78" s="68"/>
      <c r="W78" s="231"/>
      <c r="X78" s="113" t="s">
        <v>19</v>
      </c>
      <c r="Y78" s="58" t="s">
        <v>15</v>
      </c>
      <c r="Z78" s="177" t="s">
        <v>24</v>
      </c>
      <c r="AA78" s="70" t="s">
        <v>21</v>
      </c>
      <c r="AB78" s="236"/>
      <c r="AC78" s="236"/>
      <c r="AD78" s="236"/>
      <c r="AE78" s="70" t="s">
        <v>22</v>
      </c>
      <c r="AF78" s="68"/>
      <c r="AG78" s="231"/>
      <c r="AH78" s="113" t="s">
        <v>19</v>
      </c>
      <c r="AI78" s="58" t="s">
        <v>15</v>
      </c>
      <c r="AJ78" s="177" t="s">
        <v>24</v>
      </c>
      <c r="AK78" s="70" t="s">
        <v>21</v>
      </c>
      <c r="AL78" s="236"/>
      <c r="AM78" s="236"/>
      <c r="AN78" s="236"/>
      <c r="AO78" s="70" t="s">
        <v>22</v>
      </c>
      <c r="AP78" s="68"/>
    </row>
    <row r="79" spans="1:42" ht="28.5" customHeight="1">
      <c r="B79" s="114" t="str">
        <f>VLOOKUP(B76,tablaequipo,7)</f>
        <v>STRALIS - 440</v>
      </c>
      <c r="C79" s="231"/>
      <c r="D79" s="113" t="s">
        <v>19</v>
      </c>
      <c r="E79" s="58" t="s">
        <v>15</v>
      </c>
      <c r="F79" s="196" t="s">
        <v>16</v>
      </c>
      <c r="G79" s="146" t="s">
        <v>23</v>
      </c>
      <c r="H79" s="234"/>
      <c r="I79" s="234"/>
      <c r="J79" s="234"/>
      <c r="K79" s="234"/>
      <c r="L79" s="235"/>
      <c r="M79" s="231"/>
      <c r="N79" s="113" t="s">
        <v>19</v>
      </c>
      <c r="O79" s="58" t="s">
        <v>15</v>
      </c>
      <c r="P79" s="196" t="s">
        <v>16</v>
      </c>
      <c r="Q79" s="146" t="s">
        <v>23</v>
      </c>
      <c r="R79" s="234"/>
      <c r="S79" s="234"/>
      <c r="T79" s="234"/>
      <c r="U79" s="234"/>
      <c r="V79" s="235"/>
      <c r="W79" s="231"/>
      <c r="X79" s="113" t="s">
        <v>19</v>
      </c>
      <c r="Y79" s="58" t="s">
        <v>15</v>
      </c>
      <c r="Z79" s="196" t="s">
        <v>16</v>
      </c>
      <c r="AA79" s="146" t="s">
        <v>23</v>
      </c>
      <c r="AB79" s="234"/>
      <c r="AC79" s="234"/>
      <c r="AD79" s="234"/>
      <c r="AE79" s="234"/>
      <c r="AF79" s="235"/>
      <c r="AG79" s="231"/>
      <c r="AH79" s="113" t="s">
        <v>19</v>
      </c>
      <c r="AI79" s="58" t="s">
        <v>15</v>
      </c>
      <c r="AJ79" s="196" t="s">
        <v>16</v>
      </c>
      <c r="AK79" s="146" t="s">
        <v>23</v>
      </c>
      <c r="AL79" s="234"/>
      <c r="AM79" s="234"/>
      <c r="AN79" s="234"/>
      <c r="AO79" s="234"/>
      <c r="AP79" s="235"/>
    </row>
    <row r="80" spans="1:42" ht="28.5" customHeight="1" thickBot="1">
      <c r="B80" s="114" t="str">
        <f>VLOOKUP(B76,tablaequipo,8)</f>
        <v>AF442SD</v>
      </c>
      <c r="C80" s="231"/>
      <c r="D80" s="113" t="s">
        <v>19</v>
      </c>
      <c r="E80" s="58" t="s">
        <v>15</v>
      </c>
      <c r="F80" s="196" t="s">
        <v>19</v>
      </c>
      <c r="G80" s="70" t="s">
        <v>21</v>
      </c>
      <c r="H80" s="236"/>
      <c r="I80" s="236"/>
      <c r="J80" s="236"/>
      <c r="K80" s="70" t="s">
        <v>22</v>
      </c>
      <c r="L80" s="68"/>
      <c r="M80" s="231"/>
      <c r="N80" s="113" t="s">
        <v>19</v>
      </c>
      <c r="O80" s="58" t="s">
        <v>15</v>
      </c>
      <c r="P80" s="196" t="s">
        <v>19</v>
      </c>
      <c r="Q80" s="70" t="s">
        <v>21</v>
      </c>
      <c r="R80" s="236"/>
      <c r="S80" s="236"/>
      <c r="T80" s="236"/>
      <c r="U80" s="70" t="s">
        <v>22</v>
      </c>
      <c r="V80" s="68"/>
      <c r="W80" s="231"/>
      <c r="X80" s="113" t="s">
        <v>19</v>
      </c>
      <c r="Y80" s="58" t="s">
        <v>15</v>
      </c>
      <c r="Z80" s="196" t="s">
        <v>19</v>
      </c>
      <c r="AA80" s="70" t="s">
        <v>21</v>
      </c>
      <c r="AB80" s="236"/>
      <c r="AC80" s="236"/>
      <c r="AD80" s="236"/>
      <c r="AE80" s="70" t="s">
        <v>22</v>
      </c>
      <c r="AF80" s="68"/>
      <c r="AG80" s="231"/>
      <c r="AH80" s="113" t="s">
        <v>19</v>
      </c>
      <c r="AI80" s="58" t="s">
        <v>15</v>
      </c>
      <c r="AJ80" s="196" t="s">
        <v>19</v>
      </c>
      <c r="AK80" s="70" t="s">
        <v>21</v>
      </c>
      <c r="AL80" s="236"/>
      <c r="AM80" s="236"/>
      <c r="AN80" s="236"/>
      <c r="AO80" s="70" t="s">
        <v>22</v>
      </c>
      <c r="AP80" s="68"/>
    </row>
    <row r="81" spans="1:42" ht="28.5" customHeight="1" thickBot="1">
      <c r="B81" s="121">
        <v>0</v>
      </c>
      <c r="C81" s="231"/>
      <c r="D81" s="113" t="s">
        <v>19</v>
      </c>
      <c r="E81" s="58" t="s">
        <v>15</v>
      </c>
      <c r="F81" s="186" t="s">
        <v>37</v>
      </c>
      <c r="G81" s="140" t="s">
        <v>25</v>
      </c>
      <c r="H81" s="237" t="s">
        <v>26</v>
      </c>
      <c r="I81" s="238"/>
      <c r="J81" s="140" t="s">
        <v>27</v>
      </c>
      <c r="K81" s="237" t="s">
        <v>28</v>
      </c>
      <c r="L81" s="239"/>
      <c r="M81" s="231"/>
      <c r="N81" s="113" t="s">
        <v>19</v>
      </c>
      <c r="O81" s="58" t="s">
        <v>15</v>
      </c>
      <c r="P81" s="186" t="s">
        <v>15</v>
      </c>
      <c r="Q81" s="140" t="s">
        <v>25</v>
      </c>
      <c r="R81" s="237" t="s">
        <v>26</v>
      </c>
      <c r="S81" s="238"/>
      <c r="T81" s="140" t="s">
        <v>27</v>
      </c>
      <c r="U81" s="237" t="s">
        <v>28</v>
      </c>
      <c r="V81" s="239"/>
      <c r="W81" s="231"/>
      <c r="X81" s="113" t="s">
        <v>19</v>
      </c>
      <c r="Y81" s="58" t="s">
        <v>15</v>
      </c>
      <c r="Z81" s="186" t="s">
        <v>15</v>
      </c>
      <c r="AA81" s="140" t="s">
        <v>25</v>
      </c>
      <c r="AB81" s="237" t="s">
        <v>26</v>
      </c>
      <c r="AC81" s="238"/>
      <c r="AD81" s="140" t="s">
        <v>27</v>
      </c>
      <c r="AE81" s="237" t="s">
        <v>28</v>
      </c>
      <c r="AF81" s="239"/>
      <c r="AG81" s="231"/>
      <c r="AH81" s="113" t="s">
        <v>19</v>
      </c>
      <c r="AI81" s="58" t="s">
        <v>15</v>
      </c>
      <c r="AJ81" s="186" t="s">
        <v>15</v>
      </c>
      <c r="AK81" s="140" t="s">
        <v>25</v>
      </c>
      <c r="AL81" s="237" t="s">
        <v>26</v>
      </c>
      <c r="AM81" s="238"/>
      <c r="AN81" s="140" t="s">
        <v>27</v>
      </c>
      <c r="AO81" s="237" t="s">
        <v>28</v>
      </c>
      <c r="AP81" s="239"/>
    </row>
    <row r="82" spans="1:42" ht="28.5" customHeight="1" thickBot="1">
      <c r="B82" s="122" t="str">
        <f>VLOOKUP(B81,tablapermiso,3)</f>
        <v>Seleccione Gestion</v>
      </c>
      <c r="C82" s="232"/>
      <c r="D82" s="113" t="s">
        <v>19</v>
      </c>
      <c r="E82" s="58" t="s">
        <v>15</v>
      </c>
      <c r="F82" s="187" t="str">
        <f>VLOOKUP(F81,tablatractor,3)</f>
        <v>Semirremolque</v>
      </c>
      <c r="G82" s="141">
        <v>0</v>
      </c>
      <c r="H82" s="240" t="str">
        <f>VLOOKUP(G82,tablaestado,3)</f>
        <v>Seleccione Estado</v>
      </c>
      <c r="I82" s="240"/>
      <c r="J82" s="240"/>
      <c r="K82" s="240"/>
      <c r="L82" s="241"/>
      <c r="M82" s="232"/>
      <c r="N82" s="113" t="s">
        <v>19</v>
      </c>
      <c r="O82" s="58" t="s">
        <v>15</v>
      </c>
      <c r="P82" s="187" t="str">
        <f>VLOOKUP(P81,tablatractor,3)</f>
        <v>Seleccione Equipo</v>
      </c>
      <c r="Q82" s="141">
        <v>0</v>
      </c>
      <c r="R82" s="240" t="str">
        <f>VLOOKUP(Q82,tablaestado,3)</f>
        <v>Seleccione Estado</v>
      </c>
      <c r="S82" s="240"/>
      <c r="T82" s="240"/>
      <c r="U82" s="240"/>
      <c r="V82" s="241"/>
      <c r="W82" s="232"/>
      <c r="X82" s="113" t="s">
        <v>19</v>
      </c>
      <c r="Y82" s="58" t="s">
        <v>15</v>
      </c>
      <c r="Z82" s="187" t="str">
        <f>VLOOKUP(Z81,tablatractor,3)</f>
        <v>Seleccione Equipo</v>
      </c>
      <c r="AA82" s="141">
        <v>0</v>
      </c>
      <c r="AB82" s="240" t="str">
        <f>VLOOKUP(AA82,tablaestado,3)</f>
        <v>Seleccione Estado</v>
      </c>
      <c r="AC82" s="240"/>
      <c r="AD82" s="240"/>
      <c r="AE82" s="240"/>
      <c r="AF82" s="241"/>
      <c r="AG82" s="232"/>
      <c r="AH82" s="113" t="s">
        <v>19</v>
      </c>
      <c r="AI82" s="58" t="s">
        <v>15</v>
      </c>
      <c r="AJ82" s="187" t="str">
        <f>VLOOKUP(AJ81,tablatractor,3)</f>
        <v>Seleccione Equipo</v>
      </c>
      <c r="AK82" s="141">
        <v>0</v>
      </c>
      <c r="AL82" s="240" t="str">
        <f>VLOOKUP(AK82,tablaestado,3)</f>
        <v>Seleccione Estado</v>
      </c>
      <c r="AM82" s="240"/>
      <c r="AN82" s="240"/>
      <c r="AO82" s="240"/>
      <c r="AP82" s="241"/>
    </row>
    <row r="83" spans="1:42" ht="28.5" customHeight="1" thickBot="1">
      <c r="B83" s="251" t="s">
        <v>1</v>
      </c>
      <c r="C83" s="222" t="s">
        <v>2</v>
      </c>
      <c r="D83" s="112" t="s">
        <v>3</v>
      </c>
      <c r="E83" s="224" t="s">
        <v>4</v>
      </c>
      <c r="F83" s="225"/>
      <c r="G83" s="226" t="s">
        <v>5</v>
      </c>
      <c r="H83" s="227"/>
      <c r="I83" s="227"/>
      <c r="J83" s="227"/>
      <c r="K83" s="227"/>
      <c r="L83" s="228"/>
      <c r="M83" s="222" t="s">
        <v>2</v>
      </c>
      <c r="N83" s="112" t="s">
        <v>3</v>
      </c>
      <c r="O83" s="224" t="s">
        <v>4</v>
      </c>
      <c r="P83" s="225"/>
      <c r="Q83" s="226" t="s">
        <v>6</v>
      </c>
      <c r="R83" s="227"/>
      <c r="S83" s="227"/>
      <c r="T83" s="227"/>
      <c r="U83" s="227"/>
      <c r="V83" s="228"/>
      <c r="W83" s="222" t="s">
        <v>2</v>
      </c>
      <c r="X83" s="112" t="s">
        <v>3</v>
      </c>
      <c r="Y83" s="224" t="s">
        <v>4</v>
      </c>
      <c r="Z83" s="225"/>
      <c r="AA83" s="226" t="s">
        <v>7</v>
      </c>
      <c r="AB83" s="227"/>
      <c r="AC83" s="227"/>
      <c r="AD83" s="227"/>
      <c r="AE83" s="227"/>
      <c r="AF83" s="228"/>
      <c r="AG83" s="222" t="s">
        <v>2</v>
      </c>
      <c r="AH83" s="112" t="s">
        <v>3</v>
      </c>
      <c r="AI83" s="224" t="s">
        <v>4</v>
      </c>
      <c r="AJ83" s="225"/>
      <c r="AK83" s="226" t="s">
        <v>8</v>
      </c>
      <c r="AL83" s="227"/>
      <c r="AM83" s="227"/>
      <c r="AN83" s="227"/>
      <c r="AO83" s="227"/>
      <c r="AP83" s="228"/>
    </row>
    <row r="84" spans="1:42" ht="28.5" customHeight="1" thickBot="1">
      <c r="B84" s="252"/>
      <c r="C84" s="223"/>
      <c r="D84" s="199" t="s">
        <v>9</v>
      </c>
      <c r="E84" s="199" t="s">
        <v>10</v>
      </c>
      <c r="F84" s="112" t="s">
        <v>9</v>
      </c>
      <c r="G84" s="229" t="s">
        <v>38</v>
      </c>
      <c r="H84" s="229"/>
      <c r="I84" s="71" t="s">
        <v>12</v>
      </c>
      <c r="J84" s="147">
        <v>0</v>
      </c>
      <c r="K84" s="71" t="s">
        <v>13</v>
      </c>
      <c r="L84" s="148">
        <v>0</v>
      </c>
      <c r="M84" s="223"/>
      <c r="N84" s="199" t="s">
        <v>9</v>
      </c>
      <c r="O84" s="199" t="s">
        <v>10</v>
      </c>
      <c r="P84" s="112" t="s">
        <v>9</v>
      </c>
      <c r="Q84" s="229" t="s">
        <v>11</v>
      </c>
      <c r="R84" s="229"/>
      <c r="S84" s="71" t="s">
        <v>12</v>
      </c>
      <c r="T84" s="147">
        <v>0</v>
      </c>
      <c r="U84" s="71" t="s">
        <v>13</v>
      </c>
      <c r="V84" s="148">
        <v>0</v>
      </c>
      <c r="W84" s="223"/>
      <c r="X84" s="199" t="s">
        <v>9</v>
      </c>
      <c r="Y84" s="199" t="s">
        <v>10</v>
      </c>
      <c r="Z84" s="112" t="s">
        <v>9</v>
      </c>
      <c r="AA84" s="229" t="s">
        <v>11</v>
      </c>
      <c r="AB84" s="229"/>
      <c r="AC84" s="71" t="s">
        <v>12</v>
      </c>
      <c r="AD84" s="147">
        <v>0</v>
      </c>
      <c r="AE84" s="71" t="s">
        <v>13</v>
      </c>
      <c r="AF84" s="148">
        <v>0</v>
      </c>
      <c r="AG84" s="223"/>
      <c r="AH84" s="199" t="s">
        <v>9</v>
      </c>
      <c r="AI84" s="199" t="s">
        <v>10</v>
      </c>
      <c r="AJ84" s="112" t="s">
        <v>9</v>
      </c>
      <c r="AK84" s="229" t="s">
        <v>11</v>
      </c>
      <c r="AL84" s="229"/>
      <c r="AM84" s="71" t="s">
        <v>12</v>
      </c>
      <c r="AN84" s="147">
        <v>0</v>
      </c>
      <c r="AO84" s="71" t="s">
        <v>13</v>
      </c>
      <c r="AP84" s="148">
        <v>0</v>
      </c>
    </row>
    <row r="85" spans="1:42" ht="28.5" customHeight="1">
      <c r="A85" s="132"/>
      <c r="B85" s="58" t="s">
        <v>39</v>
      </c>
      <c r="C85" s="230"/>
      <c r="D85" s="113"/>
      <c r="E85" s="58" t="s">
        <v>15</v>
      </c>
      <c r="F85" s="195" t="s">
        <v>16</v>
      </c>
      <c r="G85" s="69" t="s">
        <v>17</v>
      </c>
      <c r="H85" s="233" t="s">
        <v>40</v>
      </c>
      <c r="I85" s="233"/>
      <c r="J85" s="233"/>
      <c r="K85" s="69" t="s">
        <v>18</v>
      </c>
      <c r="L85" s="72">
        <v>0.29166666666666669</v>
      </c>
      <c r="M85" s="230"/>
      <c r="N85" s="113" t="s">
        <v>16</v>
      </c>
      <c r="O85" s="58" t="s">
        <v>15</v>
      </c>
      <c r="P85" s="195" t="s">
        <v>16</v>
      </c>
      <c r="Q85" s="69" t="s">
        <v>17</v>
      </c>
      <c r="R85" s="233"/>
      <c r="S85" s="233"/>
      <c r="T85" s="233"/>
      <c r="U85" s="69" t="s">
        <v>18</v>
      </c>
      <c r="V85" s="72"/>
      <c r="W85" s="230"/>
      <c r="X85" s="113" t="s">
        <v>16</v>
      </c>
      <c r="Y85" s="58" t="s">
        <v>15</v>
      </c>
      <c r="Z85" s="195" t="s">
        <v>16</v>
      </c>
      <c r="AA85" s="69" t="s">
        <v>17</v>
      </c>
      <c r="AB85" s="233"/>
      <c r="AC85" s="233"/>
      <c r="AD85" s="233"/>
      <c r="AE85" s="69" t="s">
        <v>18</v>
      </c>
      <c r="AF85" s="72"/>
      <c r="AG85" s="230"/>
      <c r="AH85" s="113" t="s">
        <v>16</v>
      </c>
      <c r="AI85" s="58" t="s">
        <v>15</v>
      </c>
      <c r="AJ85" s="195" t="s">
        <v>16</v>
      </c>
      <c r="AK85" s="69" t="s">
        <v>17</v>
      </c>
      <c r="AL85" s="233"/>
      <c r="AM85" s="233"/>
      <c r="AN85" s="233"/>
      <c r="AO85" s="69" t="s">
        <v>18</v>
      </c>
      <c r="AP85" s="72"/>
    </row>
    <row r="86" spans="1:42" ht="28.5" customHeight="1">
      <c r="B86" s="114" t="str">
        <f>VLOOKUP(B85,tablaequipo,4)</f>
        <v>Autoelevador</v>
      </c>
      <c r="C86" s="231"/>
      <c r="D86" s="113"/>
      <c r="E86" s="58" t="s">
        <v>15</v>
      </c>
      <c r="F86" s="195" t="s">
        <v>19</v>
      </c>
      <c r="G86" s="146" t="s">
        <v>20</v>
      </c>
      <c r="H86" s="234" t="s">
        <v>41</v>
      </c>
      <c r="I86" s="234"/>
      <c r="J86" s="234"/>
      <c r="K86" s="234"/>
      <c r="L86" s="235"/>
      <c r="M86" s="231"/>
      <c r="N86" s="113" t="s">
        <v>19</v>
      </c>
      <c r="O86" s="58" t="s">
        <v>15</v>
      </c>
      <c r="P86" s="195" t="s">
        <v>19</v>
      </c>
      <c r="Q86" s="146" t="s">
        <v>20</v>
      </c>
      <c r="R86" s="234"/>
      <c r="S86" s="234"/>
      <c r="T86" s="234"/>
      <c r="U86" s="234"/>
      <c r="V86" s="235"/>
      <c r="W86" s="231"/>
      <c r="X86" s="113" t="s">
        <v>19</v>
      </c>
      <c r="Y86" s="58" t="s">
        <v>15</v>
      </c>
      <c r="Z86" s="195" t="s">
        <v>19</v>
      </c>
      <c r="AA86" s="146" t="s">
        <v>20</v>
      </c>
      <c r="AB86" s="234"/>
      <c r="AC86" s="234"/>
      <c r="AD86" s="234"/>
      <c r="AE86" s="234"/>
      <c r="AF86" s="235"/>
      <c r="AG86" s="231"/>
      <c r="AH86" s="113" t="s">
        <v>19</v>
      </c>
      <c r="AI86" s="58" t="s">
        <v>15</v>
      </c>
      <c r="AJ86" s="195" t="s">
        <v>19</v>
      </c>
      <c r="AK86" s="146" t="s">
        <v>20</v>
      </c>
      <c r="AL86" s="234"/>
      <c r="AM86" s="234"/>
      <c r="AN86" s="234"/>
      <c r="AO86" s="234"/>
      <c r="AP86" s="235"/>
    </row>
    <row r="87" spans="1:42" ht="28.5" customHeight="1">
      <c r="B87" s="114" t="str">
        <f>VLOOKUP(B85,tablaequipo,6)</f>
        <v>HELI</v>
      </c>
      <c r="C87" s="231"/>
      <c r="D87" s="113"/>
      <c r="E87" s="58" t="s">
        <v>15</v>
      </c>
      <c r="F87" s="195" t="s">
        <v>19</v>
      </c>
      <c r="G87" s="70" t="s">
        <v>21</v>
      </c>
      <c r="H87" s="236" t="s">
        <v>42</v>
      </c>
      <c r="I87" s="236"/>
      <c r="J87" s="236"/>
      <c r="K87" s="70" t="s">
        <v>22</v>
      </c>
      <c r="L87" s="68" t="s">
        <v>43</v>
      </c>
      <c r="M87" s="231"/>
      <c r="N87" s="113" t="s">
        <v>19</v>
      </c>
      <c r="O87" s="58" t="s">
        <v>15</v>
      </c>
      <c r="P87" s="195" t="s">
        <v>19</v>
      </c>
      <c r="Q87" s="70" t="s">
        <v>21</v>
      </c>
      <c r="R87" s="236"/>
      <c r="S87" s="236"/>
      <c r="T87" s="236"/>
      <c r="U87" s="70" t="s">
        <v>22</v>
      </c>
      <c r="V87" s="68"/>
      <c r="W87" s="231"/>
      <c r="X87" s="113" t="s">
        <v>19</v>
      </c>
      <c r="Y87" s="58" t="s">
        <v>15</v>
      </c>
      <c r="Z87" s="195" t="s">
        <v>19</v>
      </c>
      <c r="AA87" s="70" t="s">
        <v>21</v>
      </c>
      <c r="AB87" s="236"/>
      <c r="AC87" s="236"/>
      <c r="AD87" s="236"/>
      <c r="AE87" s="70" t="s">
        <v>22</v>
      </c>
      <c r="AF87" s="68"/>
      <c r="AG87" s="231"/>
      <c r="AH87" s="113" t="s">
        <v>19</v>
      </c>
      <c r="AI87" s="58" t="s">
        <v>15</v>
      </c>
      <c r="AJ87" s="195" t="s">
        <v>19</v>
      </c>
      <c r="AK87" s="70" t="s">
        <v>21</v>
      </c>
      <c r="AL87" s="236"/>
      <c r="AM87" s="236"/>
      <c r="AN87" s="236"/>
      <c r="AO87" s="70" t="s">
        <v>22</v>
      </c>
      <c r="AP87" s="68"/>
    </row>
    <row r="88" spans="1:42" ht="28.5" customHeight="1" thickBot="1">
      <c r="B88" s="114">
        <f>VLOOKUP(B85,tablaequipo,7)</f>
        <v>7500</v>
      </c>
      <c r="C88" s="231"/>
      <c r="D88" s="113"/>
      <c r="E88" s="58" t="s">
        <v>15</v>
      </c>
      <c r="F88" s="195" t="s">
        <v>19</v>
      </c>
      <c r="G88" s="146" t="s">
        <v>23</v>
      </c>
      <c r="H88" s="234"/>
      <c r="I88" s="234"/>
      <c r="J88" s="234"/>
      <c r="K88" s="234"/>
      <c r="L88" s="235"/>
      <c r="M88" s="231"/>
      <c r="N88" s="113" t="s">
        <v>19</v>
      </c>
      <c r="O88" s="58" t="s">
        <v>15</v>
      </c>
      <c r="P88" s="195" t="s">
        <v>19</v>
      </c>
      <c r="Q88" s="146" t="s">
        <v>23</v>
      </c>
      <c r="R88" s="234"/>
      <c r="S88" s="234"/>
      <c r="T88" s="234"/>
      <c r="U88" s="234"/>
      <c r="V88" s="235"/>
      <c r="W88" s="231"/>
      <c r="X88" s="113" t="s">
        <v>19</v>
      </c>
      <c r="Y88" s="58" t="s">
        <v>15</v>
      </c>
      <c r="Z88" s="195" t="s">
        <v>19</v>
      </c>
      <c r="AA88" s="146" t="s">
        <v>23</v>
      </c>
      <c r="AB88" s="234"/>
      <c r="AC88" s="234"/>
      <c r="AD88" s="234"/>
      <c r="AE88" s="234"/>
      <c r="AF88" s="235"/>
      <c r="AG88" s="231"/>
      <c r="AH88" s="113" t="s">
        <v>19</v>
      </c>
      <c r="AI88" s="58" t="s">
        <v>15</v>
      </c>
      <c r="AJ88" s="195" t="s">
        <v>19</v>
      </c>
      <c r="AK88" s="146" t="s">
        <v>23</v>
      </c>
      <c r="AL88" s="234"/>
      <c r="AM88" s="234"/>
      <c r="AN88" s="234"/>
      <c r="AO88" s="234"/>
      <c r="AP88" s="235"/>
    </row>
    <row r="89" spans="1:42" ht="28.5" customHeight="1" thickBot="1">
      <c r="B89" s="114" t="str">
        <f>VLOOKUP(B85,tablaequipo,8)</f>
        <v>BTX 078</v>
      </c>
      <c r="C89" s="231"/>
      <c r="D89" s="113"/>
      <c r="E89" s="58" t="s">
        <v>15</v>
      </c>
      <c r="F89" s="177" t="s">
        <v>24</v>
      </c>
      <c r="G89" s="70" t="s">
        <v>21</v>
      </c>
      <c r="H89" s="236"/>
      <c r="I89" s="236"/>
      <c r="J89" s="236"/>
      <c r="K89" s="70" t="s">
        <v>22</v>
      </c>
      <c r="L89" s="68"/>
      <c r="M89" s="231"/>
      <c r="N89" s="113" t="s">
        <v>19</v>
      </c>
      <c r="O89" s="58" t="s">
        <v>15</v>
      </c>
      <c r="P89" s="177" t="s">
        <v>24</v>
      </c>
      <c r="Q89" s="70" t="s">
        <v>21</v>
      </c>
      <c r="R89" s="236"/>
      <c r="S89" s="236"/>
      <c r="T89" s="236"/>
      <c r="U89" s="70" t="s">
        <v>22</v>
      </c>
      <c r="V89" s="68"/>
      <c r="W89" s="231"/>
      <c r="X89" s="113" t="s">
        <v>19</v>
      </c>
      <c r="Y89" s="58" t="s">
        <v>15</v>
      </c>
      <c r="Z89" s="177" t="s">
        <v>24</v>
      </c>
      <c r="AA89" s="70" t="s">
        <v>21</v>
      </c>
      <c r="AB89" s="236"/>
      <c r="AC89" s="236"/>
      <c r="AD89" s="236"/>
      <c r="AE89" s="70" t="s">
        <v>22</v>
      </c>
      <c r="AF89" s="68"/>
      <c r="AG89" s="231"/>
      <c r="AH89" s="113" t="s">
        <v>19</v>
      </c>
      <c r="AI89" s="58" t="s">
        <v>15</v>
      </c>
      <c r="AJ89" s="177" t="s">
        <v>24</v>
      </c>
      <c r="AK89" s="70" t="s">
        <v>21</v>
      </c>
      <c r="AL89" s="236"/>
      <c r="AM89" s="236"/>
      <c r="AN89" s="236"/>
      <c r="AO89" s="70" t="s">
        <v>22</v>
      </c>
      <c r="AP89" s="68"/>
    </row>
    <row r="90" spans="1:42" ht="28.5" customHeight="1" thickBot="1">
      <c r="B90" s="121">
        <v>0</v>
      </c>
      <c r="C90" s="231"/>
      <c r="D90" s="113"/>
      <c r="E90" s="58" t="s">
        <v>15</v>
      </c>
      <c r="F90" s="196" t="s">
        <v>16</v>
      </c>
      <c r="G90" s="140" t="s">
        <v>25</v>
      </c>
      <c r="H90" s="237" t="s">
        <v>26</v>
      </c>
      <c r="I90" s="238"/>
      <c r="J90" s="140" t="s">
        <v>27</v>
      </c>
      <c r="K90" s="237" t="s">
        <v>44</v>
      </c>
      <c r="L90" s="239"/>
      <c r="M90" s="231"/>
      <c r="N90" s="113" t="s">
        <v>19</v>
      </c>
      <c r="O90" s="58" t="s">
        <v>15</v>
      </c>
      <c r="P90" s="196" t="s">
        <v>16</v>
      </c>
      <c r="Q90" s="140" t="s">
        <v>25</v>
      </c>
      <c r="R90" s="237" t="s">
        <v>26</v>
      </c>
      <c r="S90" s="238"/>
      <c r="T90" s="140" t="s">
        <v>27</v>
      </c>
      <c r="U90" s="237" t="s">
        <v>28</v>
      </c>
      <c r="V90" s="239"/>
      <c r="W90" s="231"/>
      <c r="X90" s="113" t="s">
        <v>19</v>
      </c>
      <c r="Y90" s="58" t="s">
        <v>15</v>
      </c>
      <c r="Z90" s="196" t="s">
        <v>16</v>
      </c>
      <c r="AA90" s="140" t="s">
        <v>25</v>
      </c>
      <c r="AB90" s="237" t="s">
        <v>26</v>
      </c>
      <c r="AC90" s="238"/>
      <c r="AD90" s="140" t="s">
        <v>27</v>
      </c>
      <c r="AE90" s="237" t="s">
        <v>28</v>
      </c>
      <c r="AF90" s="239"/>
      <c r="AG90" s="231"/>
      <c r="AH90" s="113" t="s">
        <v>19</v>
      </c>
      <c r="AI90" s="58" t="s">
        <v>15</v>
      </c>
      <c r="AJ90" s="196" t="s">
        <v>16</v>
      </c>
      <c r="AK90" s="140" t="s">
        <v>25</v>
      </c>
      <c r="AL90" s="237" t="s">
        <v>26</v>
      </c>
      <c r="AM90" s="238"/>
      <c r="AN90" s="140" t="s">
        <v>27</v>
      </c>
      <c r="AO90" s="237" t="s">
        <v>28</v>
      </c>
      <c r="AP90" s="239"/>
    </row>
    <row r="91" spans="1:42" ht="28.5" customHeight="1" thickBot="1">
      <c r="B91" s="122" t="str">
        <f>VLOOKUP(B90,tablapermiso,3)</f>
        <v>Seleccione Gestion</v>
      </c>
      <c r="C91" s="232"/>
      <c r="D91" s="113"/>
      <c r="E91" s="58" t="s">
        <v>15</v>
      </c>
      <c r="F91" s="196" t="s">
        <v>19</v>
      </c>
      <c r="G91" s="141">
        <v>1</v>
      </c>
      <c r="H91" s="240" t="str">
        <f>VLOOKUP(G91,tablaestado,3)</f>
        <v>En ejecucion</v>
      </c>
      <c r="I91" s="240"/>
      <c r="J91" s="240"/>
      <c r="K91" s="240"/>
      <c r="L91" s="241"/>
      <c r="M91" s="232"/>
      <c r="N91" s="113" t="s">
        <v>19</v>
      </c>
      <c r="O91" s="58" t="s">
        <v>15</v>
      </c>
      <c r="P91" s="196" t="s">
        <v>19</v>
      </c>
      <c r="Q91" s="141">
        <v>0</v>
      </c>
      <c r="R91" s="240" t="str">
        <f>VLOOKUP(Q91,tablaestado,3)</f>
        <v>Seleccione Estado</v>
      </c>
      <c r="S91" s="240"/>
      <c r="T91" s="240"/>
      <c r="U91" s="240"/>
      <c r="V91" s="241"/>
      <c r="W91" s="232"/>
      <c r="X91" s="113" t="s">
        <v>19</v>
      </c>
      <c r="Y91" s="58" t="s">
        <v>15</v>
      </c>
      <c r="Z91" s="196" t="s">
        <v>19</v>
      </c>
      <c r="AA91" s="141">
        <v>0</v>
      </c>
      <c r="AB91" s="240" t="str">
        <f>VLOOKUP(AA91,tablaestado,3)</f>
        <v>Seleccione Estado</v>
      </c>
      <c r="AC91" s="240"/>
      <c r="AD91" s="240"/>
      <c r="AE91" s="240"/>
      <c r="AF91" s="241"/>
      <c r="AG91" s="232"/>
      <c r="AH91" s="113" t="s">
        <v>19</v>
      </c>
      <c r="AI91" s="58" t="s">
        <v>15</v>
      </c>
      <c r="AJ91" s="196" t="s">
        <v>19</v>
      </c>
      <c r="AK91" s="141">
        <v>0</v>
      </c>
      <c r="AL91" s="240" t="str">
        <f>VLOOKUP(AK91,tablaestado,3)</f>
        <v>Seleccione Estado</v>
      </c>
      <c r="AM91" s="240"/>
      <c r="AN91" s="240"/>
      <c r="AO91" s="240"/>
      <c r="AP91" s="241"/>
    </row>
    <row r="92" spans="1:42" ht="28.5" customHeight="1" thickBot="1">
      <c r="B92" s="251" t="s">
        <v>1</v>
      </c>
      <c r="C92" s="222" t="s">
        <v>2</v>
      </c>
      <c r="D92" s="112" t="s">
        <v>3</v>
      </c>
      <c r="E92" s="224" t="s">
        <v>4</v>
      </c>
      <c r="F92" s="225"/>
      <c r="G92" s="226" t="s">
        <v>5</v>
      </c>
      <c r="H92" s="227"/>
      <c r="I92" s="227"/>
      <c r="J92" s="227"/>
      <c r="K92" s="227"/>
      <c r="L92" s="228"/>
      <c r="M92" s="222" t="s">
        <v>2</v>
      </c>
      <c r="N92" s="112" t="s">
        <v>3</v>
      </c>
      <c r="O92" s="224" t="s">
        <v>4</v>
      </c>
      <c r="P92" s="225"/>
      <c r="Q92" s="226" t="s">
        <v>6</v>
      </c>
      <c r="R92" s="227"/>
      <c r="S92" s="227"/>
      <c r="T92" s="227"/>
      <c r="U92" s="227"/>
      <c r="V92" s="228"/>
      <c r="W92" s="222" t="s">
        <v>2</v>
      </c>
      <c r="X92" s="112" t="s">
        <v>3</v>
      </c>
      <c r="Y92" s="224" t="s">
        <v>4</v>
      </c>
      <c r="Z92" s="225"/>
      <c r="AA92" s="226" t="s">
        <v>7</v>
      </c>
      <c r="AB92" s="227"/>
      <c r="AC92" s="227"/>
      <c r="AD92" s="227"/>
      <c r="AE92" s="227"/>
      <c r="AF92" s="228"/>
      <c r="AG92" s="222" t="s">
        <v>2</v>
      </c>
      <c r="AH92" s="112" t="s">
        <v>3</v>
      </c>
      <c r="AI92" s="224" t="s">
        <v>4</v>
      </c>
      <c r="AJ92" s="225"/>
      <c r="AK92" s="226" t="s">
        <v>8</v>
      </c>
      <c r="AL92" s="227"/>
      <c r="AM92" s="227"/>
      <c r="AN92" s="227"/>
      <c r="AO92" s="227"/>
      <c r="AP92" s="228"/>
    </row>
    <row r="93" spans="1:42" ht="28.5" customHeight="1" thickBot="1">
      <c r="B93" s="252"/>
      <c r="C93" s="223"/>
      <c r="D93" s="199" t="s">
        <v>9</v>
      </c>
      <c r="E93" s="199" t="s">
        <v>10</v>
      </c>
      <c r="F93" s="112" t="s">
        <v>9</v>
      </c>
      <c r="G93" s="229" t="s">
        <v>11</v>
      </c>
      <c r="H93" s="229"/>
      <c r="I93" s="71" t="s">
        <v>12</v>
      </c>
      <c r="J93" s="147">
        <v>0</v>
      </c>
      <c r="K93" s="71" t="s">
        <v>13</v>
      </c>
      <c r="L93" s="148">
        <v>0</v>
      </c>
      <c r="M93" s="223"/>
      <c r="N93" s="199" t="s">
        <v>9</v>
      </c>
      <c r="O93" s="199" t="s">
        <v>10</v>
      </c>
      <c r="P93" s="112" t="s">
        <v>9</v>
      </c>
      <c r="Q93" s="229" t="s">
        <v>11</v>
      </c>
      <c r="R93" s="229"/>
      <c r="S93" s="71" t="s">
        <v>12</v>
      </c>
      <c r="T93" s="147">
        <v>0</v>
      </c>
      <c r="U93" s="71" t="s">
        <v>13</v>
      </c>
      <c r="V93" s="148">
        <v>0</v>
      </c>
      <c r="W93" s="223"/>
      <c r="X93" s="199" t="s">
        <v>9</v>
      </c>
      <c r="Y93" s="199" t="s">
        <v>10</v>
      </c>
      <c r="Z93" s="112" t="s">
        <v>9</v>
      </c>
      <c r="AA93" s="229" t="s">
        <v>11</v>
      </c>
      <c r="AB93" s="229"/>
      <c r="AC93" s="71" t="s">
        <v>12</v>
      </c>
      <c r="AD93" s="147">
        <v>0</v>
      </c>
      <c r="AE93" s="71" t="s">
        <v>13</v>
      </c>
      <c r="AF93" s="148">
        <v>0</v>
      </c>
      <c r="AG93" s="223"/>
      <c r="AH93" s="199" t="s">
        <v>9</v>
      </c>
      <c r="AI93" s="199" t="s">
        <v>10</v>
      </c>
      <c r="AJ93" s="112" t="s">
        <v>9</v>
      </c>
      <c r="AK93" s="229" t="s">
        <v>11</v>
      </c>
      <c r="AL93" s="229"/>
      <c r="AM93" s="71" t="s">
        <v>12</v>
      </c>
      <c r="AN93" s="147">
        <v>0</v>
      </c>
      <c r="AO93" s="71" t="s">
        <v>13</v>
      </c>
      <c r="AP93" s="148">
        <v>0</v>
      </c>
    </row>
    <row r="94" spans="1:42" ht="28.5" customHeight="1">
      <c r="A94" s="132"/>
      <c r="B94" s="58" t="s">
        <v>45</v>
      </c>
      <c r="C94" s="230"/>
      <c r="D94" s="113" t="s">
        <v>16</v>
      </c>
      <c r="E94" s="58" t="s">
        <v>15</v>
      </c>
      <c r="F94" s="195" t="s">
        <v>16</v>
      </c>
      <c r="G94" s="69" t="s">
        <v>17</v>
      </c>
      <c r="H94" s="233"/>
      <c r="I94" s="233"/>
      <c r="J94" s="233"/>
      <c r="K94" s="69" t="s">
        <v>18</v>
      </c>
      <c r="L94" s="72"/>
      <c r="M94" s="230"/>
      <c r="N94" s="113" t="s">
        <v>16</v>
      </c>
      <c r="O94" s="58" t="s">
        <v>15</v>
      </c>
      <c r="P94" s="195" t="s">
        <v>16</v>
      </c>
      <c r="Q94" s="69" t="s">
        <v>17</v>
      </c>
      <c r="R94" s="233"/>
      <c r="S94" s="233"/>
      <c r="T94" s="233"/>
      <c r="U94" s="69" t="s">
        <v>18</v>
      </c>
      <c r="V94" s="72"/>
      <c r="W94" s="230"/>
      <c r="X94" s="113" t="s">
        <v>16</v>
      </c>
      <c r="Y94" s="58" t="s">
        <v>15</v>
      </c>
      <c r="Z94" s="195" t="s">
        <v>16</v>
      </c>
      <c r="AA94" s="69" t="s">
        <v>17</v>
      </c>
      <c r="AB94" s="233"/>
      <c r="AC94" s="233"/>
      <c r="AD94" s="233"/>
      <c r="AE94" s="69" t="s">
        <v>18</v>
      </c>
      <c r="AF94" s="72"/>
      <c r="AG94" s="230"/>
      <c r="AH94" s="113" t="s">
        <v>16</v>
      </c>
      <c r="AI94" s="58" t="s">
        <v>15</v>
      </c>
      <c r="AJ94" s="195" t="s">
        <v>16</v>
      </c>
      <c r="AK94" s="69" t="s">
        <v>17</v>
      </c>
      <c r="AL94" s="233"/>
      <c r="AM94" s="233"/>
      <c r="AN94" s="233"/>
      <c r="AO94" s="69" t="s">
        <v>18</v>
      </c>
      <c r="AP94" s="72"/>
    </row>
    <row r="95" spans="1:42" ht="28.5" customHeight="1">
      <c r="B95" s="114" t="str">
        <f>VLOOKUP(B94,tablaequipo,4)</f>
        <v>Autoelevador</v>
      </c>
      <c r="C95" s="231"/>
      <c r="D95" s="113" t="s">
        <v>19</v>
      </c>
      <c r="E95" s="58" t="s">
        <v>15</v>
      </c>
      <c r="F95" s="195" t="s">
        <v>19</v>
      </c>
      <c r="G95" s="146" t="s">
        <v>20</v>
      </c>
      <c r="H95" s="234"/>
      <c r="I95" s="234"/>
      <c r="J95" s="234"/>
      <c r="K95" s="234"/>
      <c r="L95" s="235"/>
      <c r="M95" s="231"/>
      <c r="N95" s="113" t="s">
        <v>19</v>
      </c>
      <c r="O95" s="58" t="s">
        <v>15</v>
      </c>
      <c r="P95" s="195" t="s">
        <v>19</v>
      </c>
      <c r="Q95" s="146" t="s">
        <v>20</v>
      </c>
      <c r="R95" s="234"/>
      <c r="S95" s="234"/>
      <c r="T95" s="234"/>
      <c r="U95" s="234"/>
      <c r="V95" s="235"/>
      <c r="W95" s="231"/>
      <c r="X95" s="113" t="s">
        <v>19</v>
      </c>
      <c r="Y95" s="58" t="s">
        <v>15</v>
      </c>
      <c r="Z95" s="195" t="s">
        <v>19</v>
      </c>
      <c r="AA95" s="146" t="s">
        <v>20</v>
      </c>
      <c r="AB95" s="234"/>
      <c r="AC95" s="234"/>
      <c r="AD95" s="234"/>
      <c r="AE95" s="234"/>
      <c r="AF95" s="235"/>
      <c r="AG95" s="231"/>
      <c r="AH95" s="113" t="s">
        <v>19</v>
      </c>
      <c r="AI95" s="58" t="s">
        <v>15</v>
      </c>
      <c r="AJ95" s="195" t="s">
        <v>19</v>
      </c>
      <c r="AK95" s="146" t="s">
        <v>20</v>
      </c>
      <c r="AL95" s="234"/>
      <c r="AM95" s="234"/>
      <c r="AN95" s="234"/>
      <c r="AO95" s="234"/>
      <c r="AP95" s="235"/>
    </row>
    <row r="96" spans="1:42" ht="28.5" customHeight="1">
      <c r="B96" s="114" t="str">
        <f>VLOOKUP(B94,tablaequipo,6)</f>
        <v>KOMATSU</v>
      </c>
      <c r="C96" s="231"/>
      <c r="D96" s="113" t="s">
        <v>19</v>
      </c>
      <c r="E96" s="58" t="s">
        <v>15</v>
      </c>
      <c r="F96" s="195" t="s">
        <v>19</v>
      </c>
      <c r="G96" s="70" t="s">
        <v>21</v>
      </c>
      <c r="H96" s="236"/>
      <c r="I96" s="236"/>
      <c r="J96" s="236"/>
      <c r="K96" s="70" t="s">
        <v>22</v>
      </c>
      <c r="L96" s="68"/>
      <c r="M96" s="231"/>
      <c r="N96" s="113" t="s">
        <v>19</v>
      </c>
      <c r="O96" s="58" t="s">
        <v>15</v>
      </c>
      <c r="P96" s="195" t="s">
        <v>19</v>
      </c>
      <c r="Q96" s="70" t="s">
        <v>21</v>
      </c>
      <c r="R96" s="236"/>
      <c r="S96" s="236"/>
      <c r="T96" s="236"/>
      <c r="U96" s="70" t="s">
        <v>22</v>
      </c>
      <c r="V96" s="68"/>
      <c r="W96" s="231"/>
      <c r="X96" s="113" t="s">
        <v>19</v>
      </c>
      <c r="Y96" s="58" t="s">
        <v>15</v>
      </c>
      <c r="Z96" s="195" t="s">
        <v>19</v>
      </c>
      <c r="AA96" s="70" t="s">
        <v>21</v>
      </c>
      <c r="AB96" s="236"/>
      <c r="AC96" s="236"/>
      <c r="AD96" s="236"/>
      <c r="AE96" s="70" t="s">
        <v>22</v>
      </c>
      <c r="AF96" s="68"/>
      <c r="AG96" s="231"/>
      <c r="AH96" s="113" t="s">
        <v>19</v>
      </c>
      <c r="AI96" s="58" t="s">
        <v>15</v>
      </c>
      <c r="AJ96" s="195" t="s">
        <v>19</v>
      </c>
      <c r="AK96" s="70" t="s">
        <v>21</v>
      </c>
      <c r="AL96" s="236"/>
      <c r="AM96" s="236"/>
      <c r="AN96" s="236"/>
      <c r="AO96" s="70" t="s">
        <v>22</v>
      </c>
      <c r="AP96" s="68"/>
    </row>
    <row r="97" spans="1:42" ht="28.5" customHeight="1" thickBot="1">
      <c r="B97" s="114">
        <f>VLOOKUP(B94,tablaequipo,7)</f>
        <v>5500</v>
      </c>
      <c r="C97" s="231"/>
      <c r="D97" s="113" t="s">
        <v>19</v>
      </c>
      <c r="E97" s="58" t="s">
        <v>15</v>
      </c>
      <c r="F97" s="195" t="s">
        <v>19</v>
      </c>
      <c r="G97" s="146" t="s">
        <v>23</v>
      </c>
      <c r="H97" s="234"/>
      <c r="I97" s="234"/>
      <c r="J97" s="234"/>
      <c r="K97" s="234"/>
      <c r="L97" s="235"/>
      <c r="M97" s="231"/>
      <c r="N97" s="113" t="s">
        <v>19</v>
      </c>
      <c r="O97" s="58" t="s">
        <v>15</v>
      </c>
      <c r="P97" s="195" t="s">
        <v>19</v>
      </c>
      <c r="Q97" s="146" t="s">
        <v>23</v>
      </c>
      <c r="R97" s="234"/>
      <c r="S97" s="234"/>
      <c r="T97" s="234"/>
      <c r="U97" s="234"/>
      <c r="V97" s="235"/>
      <c r="W97" s="231"/>
      <c r="X97" s="113" t="s">
        <v>19</v>
      </c>
      <c r="Y97" s="58" t="s">
        <v>15</v>
      </c>
      <c r="Z97" s="195" t="s">
        <v>19</v>
      </c>
      <c r="AA97" s="146" t="s">
        <v>23</v>
      </c>
      <c r="AB97" s="234"/>
      <c r="AC97" s="234"/>
      <c r="AD97" s="234"/>
      <c r="AE97" s="234"/>
      <c r="AF97" s="235"/>
      <c r="AG97" s="231"/>
      <c r="AH97" s="113" t="s">
        <v>19</v>
      </c>
      <c r="AI97" s="58" t="s">
        <v>15</v>
      </c>
      <c r="AJ97" s="195" t="s">
        <v>19</v>
      </c>
      <c r="AK97" s="146" t="s">
        <v>23</v>
      </c>
      <c r="AL97" s="234"/>
      <c r="AM97" s="234"/>
      <c r="AN97" s="234"/>
      <c r="AO97" s="234"/>
      <c r="AP97" s="235"/>
    </row>
    <row r="98" spans="1:42" ht="28.5" customHeight="1" thickBot="1">
      <c r="B98" s="114" t="str">
        <f>VLOOKUP(B94,tablaequipo,8)</f>
        <v>-</v>
      </c>
      <c r="C98" s="231"/>
      <c r="D98" s="113" t="s">
        <v>19</v>
      </c>
      <c r="E98" s="58" t="s">
        <v>15</v>
      </c>
      <c r="F98" s="177" t="s">
        <v>24</v>
      </c>
      <c r="G98" s="70" t="s">
        <v>21</v>
      </c>
      <c r="H98" s="236"/>
      <c r="I98" s="236"/>
      <c r="J98" s="236"/>
      <c r="K98" s="70" t="s">
        <v>22</v>
      </c>
      <c r="L98" s="68"/>
      <c r="M98" s="231"/>
      <c r="N98" s="113" t="s">
        <v>19</v>
      </c>
      <c r="O98" s="58" t="s">
        <v>15</v>
      </c>
      <c r="P98" s="177" t="s">
        <v>24</v>
      </c>
      <c r="Q98" s="70" t="s">
        <v>21</v>
      </c>
      <c r="R98" s="236"/>
      <c r="S98" s="236"/>
      <c r="T98" s="236"/>
      <c r="U98" s="70" t="s">
        <v>22</v>
      </c>
      <c r="V98" s="68"/>
      <c r="W98" s="231"/>
      <c r="X98" s="113" t="s">
        <v>19</v>
      </c>
      <c r="Y98" s="58" t="s">
        <v>15</v>
      </c>
      <c r="Z98" s="177" t="s">
        <v>24</v>
      </c>
      <c r="AA98" s="70" t="s">
        <v>21</v>
      </c>
      <c r="AB98" s="236"/>
      <c r="AC98" s="236"/>
      <c r="AD98" s="236"/>
      <c r="AE98" s="70" t="s">
        <v>22</v>
      </c>
      <c r="AF98" s="68"/>
      <c r="AG98" s="231"/>
      <c r="AH98" s="113" t="s">
        <v>19</v>
      </c>
      <c r="AI98" s="58" t="s">
        <v>15</v>
      </c>
      <c r="AJ98" s="177" t="s">
        <v>24</v>
      </c>
      <c r="AK98" s="70" t="s">
        <v>21</v>
      </c>
      <c r="AL98" s="236"/>
      <c r="AM98" s="236"/>
      <c r="AN98" s="236"/>
      <c r="AO98" s="70" t="s">
        <v>22</v>
      </c>
      <c r="AP98" s="68"/>
    </row>
    <row r="99" spans="1:42" ht="28.5" customHeight="1" thickBot="1">
      <c r="B99" s="121">
        <v>0</v>
      </c>
      <c r="C99" s="231"/>
      <c r="D99" s="113" t="s">
        <v>19</v>
      </c>
      <c r="E99" s="58" t="s">
        <v>15</v>
      </c>
      <c r="F99" s="196" t="s">
        <v>16</v>
      </c>
      <c r="G99" s="140" t="s">
        <v>25</v>
      </c>
      <c r="H99" s="237" t="s">
        <v>26</v>
      </c>
      <c r="I99" s="238"/>
      <c r="J99" s="140" t="s">
        <v>27</v>
      </c>
      <c r="K99" s="237" t="s">
        <v>28</v>
      </c>
      <c r="L99" s="239"/>
      <c r="M99" s="231"/>
      <c r="N99" s="113" t="s">
        <v>19</v>
      </c>
      <c r="O99" s="58" t="s">
        <v>15</v>
      </c>
      <c r="P99" s="196" t="s">
        <v>16</v>
      </c>
      <c r="Q99" s="140" t="s">
        <v>25</v>
      </c>
      <c r="R99" s="237" t="s">
        <v>26</v>
      </c>
      <c r="S99" s="238"/>
      <c r="T99" s="140" t="s">
        <v>27</v>
      </c>
      <c r="U99" s="237" t="s">
        <v>28</v>
      </c>
      <c r="V99" s="239"/>
      <c r="W99" s="231"/>
      <c r="X99" s="113" t="s">
        <v>19</v>
      </c>
      <c r="Y99" s="58" t="s">
        <v>15</v>
      </c>
      <c r="Z99" s="196" t="s">
        <v>16</v>
      </c>
      <c r="AA99" s="140" t="s">
        <v>25</v>
      </c>
      <c r="AB99" s="237" t="s">
        <v>26</v>
      </c>
      <c r="AC99" s="238"/>
      <c r="AD99" s="140" t="s">
        <v>27</v>
      </c>
      <c r="AE99" s="237" t="s">
        <v>28</v>
      </c>
      <c r="AF99" s="239"/>
      <c r="AG99" s="231"/>
      <c r="AH99" s="113" t="s">
        <v>19</v>
      </c>
      <c r="AI99" s="58" t="s">
        <v>15</v>
      </c>
      <c r="AJ99" s="196" t="s">
        <v>16</v>
      </c>
      <c r="AK99" s="140" t="s">
        <v>25</v>
      </c>
      <c r="AL99" s="237" t="s">
        <v>26</v>
      </c>
      <c r="AM99" s="238"/>
      <c r="AN99" s="140" t="s">
        <v>27</v>
      </c>
      <c r="AO99" s="237" t="s">
        <v>28</v>
      </c>
      <c r="AP99" s="239"/>
    </row>
    <row r="100" spans="1:42" ht="28.5" customHeight="1" thickBot="1">
      <c r="B100" s="122" t="str">
        <f>VLOOKUP(B99,tablapermiso,3)</f>
        <v>Seleccione Gestion</v>
      </c>
      <c r="C100" s="232"/>
      <c r="D100" s="113" t="s">
        <v>19</v>
      </c>
      <c r="E100" s="58" t="s">
        <v>15</v>
      </c>
      <c r="F100" s="196" t="s">
        <v>19</v>
      </c>
      <c r="G100" s="141">
        <v>0</v>
      </c>
      <c r="H100" s="240" t="str">
        <f>VLOOKUP(G100,tablaestado,3)</f>
        <v>Seleccione Estado</v>
      </c>
      <c r="I100" s="240"/>
      <c r="J100" s="240"/>
      <c r="K100" s="240"/>
      <c r="L100" s="241"/>
      <c r="M100" s="232"/>
      <c r="N100" s="113" t="s">
        <v>19</v>
      </c>
      <c r="O100" s="58" t="s">
        <v>15</v>
      </c>
      <c r="P100" s="196" t="s">
        <v>19</v>
      </c>
      <c r="Q100" s="141">
        <v>0</v>
      </c>
      <c r="R100" s="240" t="str">
        <f>VLOOKUP(Q100,tablaestado,3)</f>
        <v>Seleccione Estado</v>
      </c>
      <c r="S100" s="240"/>
      <c r="T100" s="240"/>
      <c r="U100" s="240"/>
      <c r="V100" s="241"/>
      <c r="W100" s="232"/>
      <c r="X100" s="113" t="s">
        <v>19</v>
      </c>
      <c r="Y100" s="58" t="s">
        <v>15</v>
      </c>
      <c r="Z100" s="196" t="s">
        <v>19</v>
      </c>
      <c r="AA100" s="141">
        <v>0</v>
      </c>
      <c r="AB100" s="240" t="str">
        <f>VLOOKUP(AA100,tablaestado,3)</f>
        <v>Seleccione Estado</v>
      </c>
      <c r="AC100" s="240"/>
      <c r="AD100" s="240"/>
      <c r="AE100" s="240"/>
      <c r="AF100" s="241"/>
      <c r="AG100" s="232"/>
      <c r="AH100" s="113" t="s">
        <v>19</v>
      </c>
      <c r="AI100" s="58" t="s">
        <v>15</v>
      </c>
      <c r="AJ100" s="196" t="s">
        <v>19</v>
      </c>
      <c r="AK100" s="141">
        <v>0</v>
      </c>
      <c r="AL100" s="240" t="str">
        <f>VLOOKUP(AK100,tablaestado,3)</f>
        <v>Seleccione Estado</v>
      </c>
      <c r="AM100" s="240"/>
      <c r="AN100" s="240"/>
      <c r="AO100" s="240"/>
      <c r="AP100" s="241"/>
    </row>
    <row r="101" spans="1:42" ht="28.5" customHeight="1" thickBot="1">
      <c r="B101" s="251" t="s">
        <v>1</v>
      </c>
      <c r="C101" s="222" t="s">
        <v>2</v>
      </c>
      <c r="D101" s="112" t="s">
        <v>3</v>
      </c>
      <c r="E101" s="224" t="s">
        <v>4</v>
      </c>
      <c r="F101" s="225"/>
      <c r="G101" s="226" t="s">
        <v>5</v>
      </c>
      <c r="H101" s="227"/>
      <c r="I101" s="227"/>
      <c r="J101" s="227"/>
      <c r="K101" s="227"/>
      <c r="L101" s="228"/>
      <c r="M101" s="222" t="s">
        <v>2</v>
      </c>
      <c r="N101" s="112" t="s">
        <v>3</v>
      </c>
      <c r="O101" s="224" t="s">
        <v>4</v>
      </c>
      <c r="P101" s="225"/>
      <c r="Q101" s="226" t="s">
        <v>6</v>
      </c>
      <c r="R101" s="227"/>
      <c r="S101" s="227"/>
      <c r="T101" s="227"/>
      <c r="U101" s="227"/>
      <c r="V101" s="228"/>
      <c r="W101" s="222" t="s">
        <v>2</v>
      </c>
      <c r="X101" s="112" t="s">
        <v>3</v>
      </c>
      <c r="Y101" s="224" t="s">
        <v>4</v>
      </c>
      <c r="Z101" s="225"/>
      <c r="AA101" s="226" t="s">
        <v>7</v>
      </c>
      <c r="AB101" s="227"/>
      <c r="AC101" s="227"/>
      <c r="AD101" s="227"/>
      <c r="AE101" s="227"/>
      <c r="AF101" s="228"/>
      <c r="AG101" s="222" t="s">
        <v>2</v>
      </c>
      <c r="AH101" s="112" t="s">
        <v>3</v>
      </c>
      <c r="AI101" s="224" t="s">
        <v>4</v>
      </c>
      <c r="AJ101" s="225"/>
      <c r="AK101" s="226" t="s">
        <v>8</v>
      </c>
      <c r="AL101" s="227"/>
      <c r="AM101" s="227"/>
      <c r="AN101" s="227"/>
      <c r="AO101" s="227"/>
      <c r="AP101" s="228"/>
    </row>
    <row r="102" spans="1:42" ht="28.5" customHeight="1" thickBot="1">
      <c r="B102" s="252"/>
      <c r="C102" s="223"/>
      <c r="D102" s="199" t="s">
        <v>9</v>
      </c>
      <c r="E102" s="199" t="s">
        <v>10</v>
      </c>
      <c r="F102" s="112" t="s">
        <v>9</v>
      </c>
      <c r="G102" s="229" t="s">
        <v>11</v>
      </c>
      <c r="H102" s="229"/>
      <c r="I102" s="71" t="s">
        <v>12</v>
      </c>
      <c r="J102" s="147">
        <v>0</v>
      </c>
      <c r="K102" s="71" t="s">
        <v>13</v>
      </c>
      <c r="L102" s="148">
        <v>0</v>
      </c>
      <c r="M102" s="223"/>
      <c r="N102" s="199" t="s">
        <v>9</v>
      </c>
      <c r="O102" s="199" t="s">
        <v>10</v>
      </c>
      <c r="P102" s="112" t="s">
        <v>9</v>
      </c>
      <c r="Q102" s="229" t="s">
        <v>11</v>
      </c>
      <c r="R102" s="229"/>
      <c r="S102" s="71" t="s">
        <v>12</v>
      </c>
      <c r="T102" s="147">
        <v>0</v>
      </c>
      <c r="U102" s="71" t="s">
        <v>13</v>
      </c>
      <c r="V102" s="148">
        <v>0</v>
      </c>
      <c r="W102" s="223"/>
      <c r="X102" s="199" t="s">
        <v>9</v>
      </c>
      <c r="Y102" s="199" t="s">
        <v>10</v>
      </c>
      <c r="Z102" s="112" t="s">
        <v>9</v>
      </c>
      <c r="AA102" s="229" t="s">
        <v>11</v>
      </c>
      <c r="AB102" s="229"/>
      <c r="AC102" s="71" t="s">
        <v>12</v>
      </c>
      <c r="AD102" s="147">
        <v>0</v>
      </c>
      <c r="AE102" s="71" t="s">
        <v>13</v>
      </c>
      <c r="AF102" s="148">
        <v>0</v>
      </c>
      <c r="AG102" s="223"/>
      <c r="AH102" s="199" t="s">
        <v>9</v>
      </c>
      <c r="AI102" s="199" t="s">
        <v>10</v>
      </c>
      <c r="AJ102" s="112" t="s">
        <v>9</v>
      </c>
      <c r="AK102" s="229" t="s">
        <v>11</v>
      </c>
      <c r="AL102" s="229"/>
      <c r="AM102" s="71" t="s">
        <v>12</v>
      </c>
      <c r="AN102" s="147">
        <v>0</v>
      </c>
      <c r="AO102" s="71" t="s">
        <v>13</v>
      </c>
      <c r="AP102" s="148">
        <v>0</v>
      </c>
    </row>
    <row r="103" spans="1:42" ht="28.5" customHeight="1">
      <c r="A103" s="132"/>
      <c r="B103" s="58" t="s">
        <v>46</v>
      </c>
      <c r="C103" s="230"/>
      <c r="D103" s="113" t="s">
        <v>16</v>
      </c>
      <c r="E103" s="58" t="s">
        <v>15</v>
      </c>
      <c r="F103" s="195" t="s">
        <v>16</v>
      </c>
      <c r="G103" s="69" t="s">
        <v>17</v>
      </c>
      <c r="H103" s="233"/>
      <c r="I103" s="233"/>
      <c r="J103" s="233"/>
      <c r="K103" s="69" t="s">
        <v>18</v>
      </c>
      <c r="L103" s="72"/>
      <c r="M103" s="230"/>
      <c r="N103" s="113" t="s">
        <v>16</v>
      </c>
      <c r="O103" s="58" t="s">
        <v>15</v>
      </c>
      <c r="P103" s="195" t="s">
        <v>16</v>
      </c>
      <c r="Q103" s="69" t="s">
        <v>17</v>
      </c>
      <c r="R103" s="233"/>
      <c r="S103" s="233"/>
      <c r="T103" s="233"/>
      <c r="U103" s="69" t="s">
        <v>18</v>
      </c>
      <c r="V103" s="72"/>
      <c r="W103" s="230"/>
      <c r="X103" s="113" t="s">
        <v>16</v>
      </c>
      <c r="Y103" s="58" t="s">
        <v>15</v>
      </c>
      <c r="Z103" s="195" t="s">
        <v>16</v>
      </c>
      <c r="AA103" s="69" t="s">
        <v>17</v>
      </c>
      <c r="AB103" s="233"/>
      <c r="AC103" s="233"/>
      <c r="AD103" s="233"/>
      <c r="AE103" s="69" t="s">
        <v>18</v>
      </c>
      <c r="AF103" s="72"/>
      <c r="AG103" s="230"/>
      <c r="AH103" s="113" t="s">
        <v>16</v>
      </c>
      <c r="AI103" s="58" t="s">
        <v>15</v>
      </c>
      <c r="AJ103" s="195" t="s">
        <v>16</v>
      </c>
      <c r="AK103" s="69" t="s">
        <v>17</v>
      </c>
      <c r="AL103" s="233"/>
      <c r="AM103" s="233"/>
      <c r="AN103" s="233"/>
      <c r="AO103" s="69" t="s">
        <v>18</v>
      </c>
      <c r="AP103" s="72"/>
    </row>
    <row r="104" spans="1:42" ht="28.5" customHeight="1">
      <c r="B104" s="114" t="str">
        <f>VLOOKUP(B103,tablaequipo,4)</f>
        <v>Autoelevador</v>
      </c>
      <c r="C104" s="231"/>
      <c r="D104" s="113" t="s">
        <v>19</v>
      </c>
      <c r="E104" s="58" t="s">
        <v>15</v>
      </c>
      <c r="F104" s="195" t="s">
        <v>19</v>
      </c>
      <c r="G104" s="146" t="s">
        <v>20</v>
      </c>
      <c r="H104" s="234"/>
      <c r="I104" s="234"/>
      <c r="J104" s="234"/>
      <c r="K104" s="234"/>
      <c r="L104" s="235"/>
      <c r="M104" s="231"/>
      <c r="N104" s="113" t="s">
        <v>19</v>
      </c>
      <c r="O104" s="58" t="s">
        <v>15</v>
      </c>
      <c r="P104" s="195" t="s">
        <v>19</v>
      </c>
      <c r="Q104" s="146" t="s">
        <v>20</v>
      </c>
      <c r="R104" s="234"/>
      <c r="S104" s="234"/>
      <c r="T104" s="234"/>
      <c r="U104" s="234"/>
      <c r="V104" s="235"/>
      <c r="W104" s="231"/>
      <c r="X104" s="113" t="s">
        <v>19</v>
      </c>
      <c r="Y104" s="58" t="s">
        <v>15</v>
      </c>
      <c r="Z104" s="195" t="s">
        <v>19</v>
      </c>
      <c r="AA104" s="146" t="s">
        <v>20</v>
      </c>
      <c r="AB104" s="234"/>
      <c r="AC104" s="234"/>
      <c r="AD104" s="234"/>
      <c r="AE104" s="234"/>
      <c r="AF104" s="235"/>
      <c r="AG104" s="231"/>
      <c r="AH104" s="113" t="s">
        <v>19</v>
      </c>
      <c r="AI104" s="58" t="s">
        <v>15</v>
      </c>
      <c r="AJ104" s="195" t="s">
        <v>19</v>
      </c>
      <c r="AK104" s="146" t="s">
        <v>20</v>
      </c>
      <c r="AL104" s="234"/>
      <c r="AM104" s="234"/>
      <c r="AN104" s="234"/>
      <c r="AO104" s="234"/>
      <c r="AP104" s="235"/>
    </row>
    <row r="105" spans="1:42" ht="28.5" customHeight="1">
      <c r="B105" s="114" t="str">
        <f>VLOOKUP(B103,tablaequipo,6)</f>
        <v>HYUNDAI</v>
      </c>
      <c r="C105" s="231"/>
      <c r="D105" s="113" t="s">
        <v>19</v>
      </c>
      <c r="E105" s="58" t="s">
        <v>15</v>
      </c>
      <c r="F105" s="195" t="s">
        <v>19</v>
      </c>
      <c r="G105" s="70" t="s">
        <v>21</v>
      </c>
      <c r="H105" s="236"/>
      <c r="I105" s="236"/>
      <c r="J105" s="236"/>
      <c r="K105" s="70" t="s">
        <v>22</v>
      </c>
      <c r="L105" s="68"/>
      <c r="M105" s="231"/>
      <c r="N105" s="113" t="s">
        <v>19</v>
      </c>
      <c r="O105" s="58" t="s">
        <v>15</v>
      </c>
      <c r="P105" s="195" t="s">
        <v>19</v>
      </c>
      <c r="Q105" s="70" t="s">
        <v>21</v>
      </c>
      <c r="R105" s="236"/>
      <c r="S105" s="236"/>
      <c r="T105" s="236"/>
      <c r="U105" s="70" t="s">
        <v>22</v>
      </c>
      <c r="V105" s="68"/>
      <c r="W105" s="231"/>
      <c r="X105" s="113" t="s">
        <v>19</v>
      </c>
      <c r="Y105" s="58" t="s">
        <v>15</v>
      </c>
      <c r="Z105" s="195" t="s">
        <v>19</v>
      </c>
      <c r="AA105" s="70" t="s">
        <v>21</v>
      </c>
      <c r="AB105" s="236"/>
      <c r="AC105" s="236"/>
      <c r="AD105" s="236"/>
      <c r="AE105" s="70" t="s">
        <v>22</v>
      </c>
      <c r="AF105" s="68"/>
      <c r="AG105" s="231"/>
      <c r="AH105" s="113" t="s">
        <v>19</v>
      </c>
      <c r="AI105" s="58" t="s">
        <v>15</v>
      </c>
      <c r="AJ105" s="195" t="s">
        <v>19</v>
      </c>
      <c r="AK105" s="70" t="s">
        <v>21</v>
      </c>
      <c r="AL105" s="236"/>
      <c r="AM105" s="236"/>
      <c r="AN105" s="236"/>
      <c r="AO105" s="70" t="s">
        <v>22</v>
      </c>
      <c r="AP105" s="68"/>
    </row>
    <row r="106" spans="1:42" ht="28.5" customHeight="1" thickBot="1">
      <c r="B106" s="114" t="str">
        <f>VLOOKUP(B103,tablaequipo,7)</f>
        <v>DD 30 E</v>
      </c>
      <c r="C106" s="231"/>
      <c r="D106" s="113" t="s">
        <v>19</v>
      </c>
      <c r="E106" s="58" t="s">
        <v>15</v>
      </c>
      <c r="F106" s="195" t="s">
        <v>19</v>
      </c>
      <c r="G106" s="146" t="s">
        <v>23</v>
      </c>
      <c r="H106" s="234"/>
      <c r="I106" s="234"/>
      <c r="J106" s="234"/>
      <c r="K106" s="234"/>
      <c r="L106" s="235"/>
      <c r="M106" s="231"/>
      <c r="N106" s="113" t="s">
        <v>19</v>
      </c>
      <c r="O106" s="58" t="s">
        <v>15</v>
      </c>
      <c r="P106" s="195" t="s">
        <v>19</v>
      </c>
      <c r="Q106" s="146" t="s">
        <v>23</v>
      </c>
      <c r="R106" s="234"/>
      <c r="S106" s="234"/>
      <c r="T106" s="234"/>
      <c r="U106" s="234"/>
      <c r="V106" s="235"/>
      <c r="W106" s="231"/>
      <c r="X106" s="113" t="s">
        <v>19</v>
      </c>
      <c r="Y106" s="58" t="s">
        <v>15</v>
      </c>
      <c r="Z106" s="195" t="s">
        <v>19</v>
      </c>
      <c r="AA106" s="146" t="s">
        <v>23</v>
      </c>
      <c r="AB106" s="234"/>
      <c r="AC106" s="234"/>
      <c r="AD106" s="234"/>
      <c r="AE106" s="234"/>
      <c r="AF106" s="235"/>
      <c r="AG106" s="231"/>
      <c r="AH106" s="113" t="s">
        <v>19</v>
      </c>
      <c r="AI106" s="58" t="s">
        <v>15</v>
      </c>
      <c r="AJ106" s="195" t="s">
        <v>19</v>
      </c>
      <c r="AK106" s="146" t="s">
        <v>23</v>
      </c>
      <c r="AL106" s="234"/>
      <c r="AM106" s="234"/>
      <c r="AN106" s="234"/>
      <c r="AO106" s="234"/>
      <c r="AP106" s="235"/>
    </row>
    <row r="107" spans="1:42" ht="28.5" customHeight="1" thickBot="1">
      <c r="B107" s="114" t="str">
        <f>VLOOKUP(B103,tablaequipo,8)</f>
        <v>-</v>
      </c>
      <c r="C107" s="231"/>
      <c r="D107" s="113" t="s">
        <v>19</v>
      </c>
      <c r="E107" s="58" t="s">
        <v>15</v>
      </c>
      <c r="F107" s="177" t="s">
        <v>24</v>
      </c>
      <c r="G107" s="70" t="s">
        <v>21</v>
      </c>
      <c r="H107" s="236"/>
      <c r="I107" s="236"/>
      <c r="J107" s="236"/>
      <c r="K107" s="70" t="s">
        <v>22</v>
      </c>
      <c r="L107" s="68"/>
      <c r="M107" s="231"/>
      <c r="N107" s="113" t="s">
        <v>19</v>
      </c>
      <c r="O107" s="58" t="s">
        <v>15</v>
      </c>
      <c r="P107" s="177" t="s">
        <v>24</v>
      </c>
      <c r="Q107" s="70" t="s">
        <v>21</v>
      </c>
      <c r="R107" s="236"/>
      <c r="S107" s="236"/>
      <c r="T107" s="236"/>
      <c r="U107" s="70" t="s">
        <v>22</v>
      </c>
      <c r="V107" s="68"/>
      <c r="W107" s="231"/>
      <c r="X107" s="113" t="s">
        <v>19</v>
      </c>
      <c r="Y107" s="58" t="s">
        <v>15</v>
      </c>
      <c r="Z107" s="177" t="s">
        <v>24</v>
      </c>
      <c r="AA107" s="70" t="s">
        <v>21</v>
      </c>
      <c r="AB107" s="236"/>
      <c r="AC107" s="236"/>
      <c r="AD107" s="236"/>
      <c r="AE107" s="70" t="s">
        <v>22</v>
      </c>
      <c r="AF107" s="68"/>
      <c r="AG107" s="231"/>
      <c r="AH107" s="113" t="s">
        <v>19</v>
      </c>
      <c r="AI107" s="58" t="s">
        <v>15</v>
      </c>
      <c r="AJ107" s="177" t="s">
        <v>24</v>
      </c>
      <c r="AK107" s="70" t="s">
        <v>21</v>
      </c>
      <c r="AL107" s="236"/>
      <c r="AM107" s="236"/>
      <c r="AN107" s="236"/>
      <c r="AO107" s="70" t="s">
        <v>22</v>
      </c>
      <c r="AP107" s="68"/>
    </row>
    <row r="108" spans="1:42" ht="28.5" customHeight="1" thickBot="1">
      <c r="B108" s="121">
        <v>0</v>
      </c>
      <c r="C108" s="231"/>
      <c r="D108" s="113" t="s">
        <v>19</v>
      </c>
      <c r="E108" s="58" t="s">
        <v>15</v>
      </c>
      <c r="F108" s="196" t="s">
        <v>16</v>
      </c>
      <c r="G108" s="140" t="s">
        <v>25</v>
      </c>
      <c r="H108" s="237" t="s">
        <v>26</v>
      </c>
      <c r="I108" s="238"/>
      <c r="J108" s="140" t="s">
        <v>27</v>
      </c>
      <c r="K108" s="237" t="s">
        <v>28</v>
      </c>
      <c r="L108" s="239"/>
      <c r="M108" s="231"/>
      <c r="N108" s="113" t="s">
        <v>19</v>
      </c>
      <c r="O108" s="58" t="s">
        <v>15</v>
      </c>
      <c r="P108" s="196" t="s">
        <v>16</v>
      </c>
      <c r="Q108" s="140" t="s">
        <v>25</v>
      </c>
      <c r="R108" s="237" t="s">
        <v>26</v>
      </c>
      <c r="S108" s="238"/>
      <c r="T108" s="140" t="s">
        <v>27</v>
      </c>
      <c r="U108" s="237" t="s">
        <v>28</v>
      </c>
      <c r="V108" s="239"/>
      <c r="W108" s="231"/>
      <c r="X108" s="113" t="s">
        <v>19</v>
      </c>
      <c r="Y108" s="58" t="s">
        <v>15</v>
      </c>
      <c r="Z108" s="196" t="s">
        <v>16</v>
      </c>
      <c r="AA108" s="140" t="s">
        <v>25</v>
      </c>
      <c r="AB108" s="237" t="s">
        <v>26</v>
      </c>
      <c r="AC108" s="238"/>
      <c r="AD108" s="140" t="s">
        <v>27</v>
      </c>
      <c r="AE108" s="237" t="s">
        <v>28</v>
      </c>
      <c r="AF108" s="239"/>
      <c r="AG108" s="231"/>
      <c r="AH108" s="113" t="s">
        <v>19</v>
      </c>
      <c r="AI108" s="58" t="s">
        <v>15</v>
      </c>
      <c r="AJ108" s="196" t="s">
        <v>16</v>
      </c>
      <c r="AK108" s="140" t="s">
        <v>25</v>
      </c>
      <c r="AL108" s="237" t="s">
        <v>26</v>
      </c>
      <c r="AM108" s="238"/>
      <c r="AN108" s="140" t="s">
        <v>27</v>
      </c>
      <c r="AO108" s="237" t="s">
        <v>28</v>
      </c>
      <c r="AP108" s="239"/>
    </row>
    <row r="109" spans="1:42" ht="28.5" customHeight="1" thickBot="1">
      <c r="B109" s="122" t="str">
        <f>VLOOKUP(B108,tablapermiso,3)</f>
        <v>Seleccione Gestion</v>
      </c>
      <c r="C109" s="232"/>
      <c r="D109" s="113" t="s">
        <v>19</v>
      </c>
      <c r="E109" s="58" t="s">
        <v>15</v>
      </c>
      <c r="F109" s="196" t="s">
        <v>19</v>
      </c>
      <c r="G109" s="141">
        <v>0</v>
      </c>
      <c r="H109" s="240" t="str">
        <f>VLOOKUP(G109,tablaestado,3)</f>
        <v>Seleccione Estado</v>
      </c>
      <c r="I109" s="240"/>
      <c r="J109" s="240"/>
      <c r="K109" s="240"/>
      <c r="L109" s="241"/>
      <c r="M109" s="232"/>
      <c r="N109" s="113" t="s">
        <v>19</v>
      </c>
      <c r="O109" s="58" t="s">
        <v>15</v>
      </c>
      <c r="P109" s="196" t="s">
        <v>19</v>
      </c>
      <c r="Q109" s="141">
        <v>0</v>
      </c>
      <c r="R109" s="240" t="str">
        <f>VLOOKUP(Q109,tablaestado,3)</f>
        <v>Seleccione Estado</v>
      </c>
      <c r="S109" s="240"/>
      <c r="T109" s="240"/>
      <c r="U109" s="240"/>
      <c r="V109" s="241"/>
      <c r="W109" s="232"/>
      <c r="X109" s="113" t="s">
        <v>19</v>
      </c>
      <c r="Y109" s="58" t="s">
        <v>15</v>
      </c>
      <c r="Z109" s="196" t="s">
        <v>19</v>
      </c>
      <c r="AA109" s="141">
        <v>0</v>
      </c>
      <c r="AB109" s="240" t="str">
        <f>VLOOKUP(AA109,tablaestado,3)</f>
        <v>Seleccione Estado</v>
      </c>
      <c r="AC109" s="240"/>
      <c r="AD109" s="240"/>
      <c r="AE109" s="240"/>
      <c r="AF109" s="241"/>
      <c r="AG109" s="232"/>
      <c r="AH109" s="113" t="s">
        <v>19</v>
      </c>
      <c r="AI109" s="58" t="s">
        <v>15</v>
      </c>
      <c r="AJ109" s="196" t="s">
        <v>19</v>
      </c>
      <c r="AK109" s="141">
        <v>0</v>
      </c>
      <c r="AL109" s="240" t="str">
        <f>VLOOKUP(AK109,tablaestado,3)</f>
        <v>Seleccione Estado</v>
      </c>
      <c r="AM109" s="240"/>
      <c r="AN109" s="240"/>
      <c r="AO109" s="240"/>
      <c r="AP109" s="241"/>
    </row>
    <row r="110" spans="1:42" ht="28.5" customHeight="1" thickBot="1">
      <c r="B110" s="251" t="s">
        <v>1</v>
      </c>
      <c r="C110" s="222" t="s">
        <v>2</v>
      </c>
      <c r="D110" s="112" t="s">
        <v>3</v>
      </c>
      <c r="E110" s="224" t="s">
        <v>4</v>
      </c>
      <c r="F110" s="225"/>
      <c r="G110" s="226" t="s">
        <v>5</v>
      </c>
      <c r="H110" s="227"/>
      <c r="I110" s="227"/>
      <c r="J110" s="227"/>
      <c r="K110" s="227"/>
      <c r="L110" s="228"/>
      <c r="M110" s="222" t="s">
        <v>2</v>
      </c>
      <c r="N110" s="112" t="s">
        <v>3</v>
      </c>
      <c r="O110" s="224" t="s">
        <v>4</v>
      </c>
      <c r="P110" s="225"/>
      <c r="Q110" s="226" t="s">
        <v>6</v>
      </c>
      <c r="R110" s="227"/>
      <c r="S110" s="227"/>
      <c r="T110" s="227"/>
      <c r="U110" s="227"/>
      <c r="V110" s="228"/>
      <c r="W110" s="222" t="s">
        <v>2</v>
      </c>
      <c r="X110" s="112" t="s">
        <v>3</v>
      </c>
      <c r="Y110" s="224" t="s">
        <v>4</v>
      </c>
      <c r="Z110" s="225"/>
      <c r="AA110" s="226" t="s">
        <v>7</v>
      </c>
      <c r="AB110" s="227"/>
      <c r="AC110" s="227"/>
      <c r="AD110" s="227"/>
      <c r="AE110" s="227"/>
      <c r="AF110" s="228"/>
      <c r="AG110" s="222" t="s">
        <v>2</v>
      </c>
      <c r="AH110" s="112" t="s">
        <v>3</v>
      </c>
      <c r="AI110" s="224" t="s">
        <v>4</v>
      </c>
      <c r="AJ110" s="225"/>
      <c r="AK110" s="226" t="s">
        <v>8</v>
      </c>
      <c r="AL110" s="227"/>
      <c r="AM110" s="227"/>
      <c r="AN110" s="227"/>
      <c r="AO110" s="227"/>
      <c r="AP110" s="228"/>
    </row>
    <row r="111" spans="1:42" ht="28.5" customHeight="1" thickBot="1">
      <c r="B111" s="252"/>
      <c r="C111" s="223"/>
      <c r="D111" s="199" t="s">
        <v>9</v>
      </c>
      <c r="E111" s="199" t="s">
        <v>10</v>
      </c>
      <c r="F111" s="112" t="s">
        <v>9</v>
      </c>
      <c r="G111" s="229" t="s">
        <v>11</v>
      </c>
      <c r="H111" s="229"/>
      <c r="I111" s="71" t="s">
        <v>12</v>
      </c>
      <c r="J111" s="147">
        <v>0</v>
      </c>
      <c r="K111" s="71" t="s">
        <v>13</v>
      </c>
      <c r="L111" s="148">
        <v>0</v>
      </c>
      <c r="M111" s="223"/>
      <c r="N111" s="199" t="s">
        <v>9</v>
      </c>
      <c r="O111" s="199" t="s">
        <v>10</v>
      </c>
      <c r="P111" s="112" t="s">
        <v>9</v>
      </c>
      <c r="Q111" s="229" t="s">
        <v>11</v>
      </c>
      <c r="R111" s="229"/>
      <c r="S111" s="71" t="s">
        <v>12</v>
      </c>
      <c r="T111" s="147">
        <v>0</v>
      </c>
      <c r="U111" s="71" t="s">
        <v>13</v>
      </c>
      <c r="V111" s="148">
        <v>0</v>
      </c>
      <c r="W111" s="223"/>
      <c r="X111" s="199" t="s">
        <v>9</v>
      </c>
      <c r="Y111" s="199" t="s">
        <v>10</v>
      </c>
      <c r="Z111" s="112" t="s">
        <v>9</v>
      </c>
      <c r="AA111" s="229" t="s">
        <v>11</v>
      </c>
      <c r="AB111" s="229"/>
      <c r="AC111" s="71" t="s">
        <v>12</v>
      </c>
      <c r="AD111" s="147">
        <v>0</v>
      </c>
      <c r="AE111" s="71" t="s">
        <v>13</v>
      </c>
      <c r="AF111" s="148">
        <v>0</v>
      </c>
      <c r="AG111" s="223"/>
      <c r="AH111" s="199" t="s">
        <v>9</v>
      </c>
      <c r="AI111" s="199" t="s">
        <v>10</v>
      </c>
      <c r="AJ111" s="112" t="s">
        <v>9</v>
      </c>
      <c r="AK111" s="229" t="s">
        <v>11</v>
      </c>
      <c r="AL111" s="229"/>
      <c r="AM111" s="71" t="s">
        <v>12</v>
      </c>
      <c r="AN111" s="147">
        <v>0</v>
      </c>
      <c r="AO111" s="71" t="s">
        <v>13</v>
      </c>
      <c r="AP111" s="148">
        <v>0</v>
      </c>
    </row>
    <row r="112" spans="1:42" ht="28.5" customHeight="1">
      <c r="A112" s="132"/>
      <c r="B112" s="58" t="s">
        <v>47</v>
      </c>
      <c r="C112" s="230"/>
      <c r="D112" s="113" t="s">
        <v>16</v>
      </c>
      <c r="E112" s="58" t="s">
        <v>15</v>
      </c>
      <c r="F112" s="195" t="s">
        <v>16</v>
      </c>
      <c r="G112" s="69" t="s">
        <v>17</v>
      </c>
      <c r="H112" s="233"/>
      <c r="I112" s="233"/>
      <c r="J112" s="233"/>
      <c r="K112" s="69" t="s">
        <v>18</v>
      </c>
      <c r="L112" s="72"/>
      <c r="M112" s="230"/>
      <c r="N112" s="113" t="s">
        <v>16</v>
      </c>
      <c r="O112" s="58" t="s">
        <v>15</v>
      </c>
      <c r="P112" s="195" t="s">
        <v>16</v>
      </c>
      <c r="Q112" s="69" t="s">
        <v>17</v>
      </c>
      <c r="R112" s="233"/>
      <c r="S112" s="233"/>
      <c r="T112" s="233"/>
      <c r="U112" s="69" t="s">
        <v>18</v>
      </c>
      <c r="V112" s="72"/>
      <c r="W112" s="230"/>
      <c r="X112" s="113" t="s">
        <v>16</v>
      </c>
      <c r="Y112" s="58" t="s">
        <v>15</v>
      </c>
      <c r="Z112" s="195" t="s">
        <v>16</v>
      </c>
      <c r="AA112" s="69" t="s">
        <v>17</v>
      </c>
      <c r="AB112" s="233"/>
      <c r="AC112" s="233"/>
      <c r="AD112" s="233"/>
      <c r="AE112" s="69" t="s">
        <v>18</v>
      </c>
      <c r="AF112" s="72"/>
      <c r="AG112" s="230"/>
      <c r="AH112" s="113" t="s">
        <v>16</v>
      </c>
      <c r="AI112" s="58" t="s">
        <v>15</v>
      </c>
      <c r="AJ112" s="195" t="s">
        <v>16</v>
      </c>
      <c r="AK112" s="69" t="s">
        <v>17</v>
      </c>
      <c r="AL112" s="233"/>
      <c r="AM112" s="233"/>
      <c r="AN112" s="233"/>
      <c r="AO112" s="69" t="s">
        <v>18</v>
      </c>
      <c r="AP112" s="72"/>
    </row>
    <row r="113" spans="1:42" ht="28.5" customHeight="1">
      <c r="B113" s="114" t="str">
        <f>VLOOKUP(B112,tablaequipo,4)</f>
        <v>Autoelevador</v>
      </c>
      <c r="C113" s="231"/>
      <c r="D113" s="113" t="s">
        <v>19</v>
      </c>
      <c r="E113" s="58" t="s">
        <v>15</v>
      </c>
      <c r="F113" s="195" t="s">
        <v>19</v>
      </c>
      <c r="G113" s="146" t="s">
        <v>20</v>
      </c>
      <c r="H113" s="234"/>
      <c r="I113" s="234"/>
      <c r="J113" s="234"/>
      <c r="K113" s="234"/>
      <c r="L113" s="235"/>
      <c r="M113" s="231"/>
      <c r="N113" s="113" t="s">
        <v>19</v>
      </c>
      <c r="O113" s="58" t="s">
        <v>15</v>
      </c>
      <c r="P113" s="195" t="s">
        <v>19</v>
      </c>
      <c r="Q113" s="146" t="s">
        <v>20</v>
      </c>
      <c r="R113" s="234"/>
      <c r="S113" s="234"/>
      <c r="T113" s="234"/>
      <c r="U113" s="234"/>
      <c r="V113" s="235"/>
      <c r="W113" s="231"/>
      <c r="X113" s="113" t="s">
        <v>19</v>
      </c>
      <c r="Y113" s="58" t="s">
        <v>15</v>
      </c>
      <c r="Z113" s="195" t="s">
        <v>19</v>
      </c>
      <c r="AA113" s="146" t="s">
        <v>20</v>
      </c>
      <c r="AB113" s="234"/>
      <c r="AC113" s="234"/>
      <c r="AD113" s="234"/>
      <c r="AE113" s="234"/>
      <c r="AF113" s="235"/>
      <c r="AG113" s="231"/>
      <c r="AH113" s="113" t="s">
        <v>19</v>
      </c>
      <c r="AI113" s="58" t="s">
        <v>15</v>
      </c>
      <c r="AJ113" s="195" t="s">
        <v>19</v>
      </c>
      <c r="AK113" s="146" t="s">
        <v>20</v>
      </c>
      <c r="AL113" s="234"/>
      <c r="AM113" s="234"/>
      <c r="AN113" s="234"/>
      <c r="AO113" s="234"/>
      <c r="AP113" s="235"/>
    </row>
    <row r="114" spans="1:42" ht="28.5" customHeight="1">
      <c r="B114" s="114" t="str">
        <f>VLOOKUP(B112,tablaequipo,6)</f>
        <v>SINOBANG</v>
      </c>
      <c r="C114" s="231"/>
      <c r="D114" s="113" t="s">
        <v>19</v>
      </c>
      <c r="E114" s="58" t="s">
        <v>15</v>
      </c>
      <c r="F114" s="195" t="s">
        <v>19</v>
      </c>
      <c r="G114" s="70" t="s">
        <v>21</v>
      </c>
      <c r="H114" s="236"/>
      <c r="I114" s="236"/>
      <c r="J114" s="236"/>
      <c r="K114" s="70" t="s">
        <v>22</v>
      </c>
      <c r="L114" s="68"/>
      <c r="M114" s="231"/>
      <c r="N114" s="113" t="s">
        <v>19</v>
      </c>
      <c r="O114" s="58" t="s">
        <v>15</v>
      </c>
      <c r="P114" s="195" t="s">
        <v>19</v>
      </c>
      <c r="Q114" s="70" t="s">
        <v>21</v>
      </c>
      <c r="R114" s="236"/>
      <c r="S114" s="236"/>
      <c r="T114" s="236"/>
      <c r="U114" s="70" t="s">
        <v>22</v>
      </c>
      <c r="V114" s="68"/>
      <c r="W114" s="231"/>
      <c r="X114" s="113" t="s">
        <v>19</v>
      </c>
      <c r="Y114" s="58" t="s">
        <v>15</v>
      </c>
      <c r="Z114" s="195" t="s">
        <v>19</v>
      </c>
      <c r="AA114" s="70" t="s">
        <v>21</v>
      </c>
      <c r="AB114" s="236"/>
      <c r="AC114" s="236"/>
      <c r="AD114" s="236"/>
      <c r="AE114" s="70" t="s">
        <v>22</v>
      </c>
      <c r="AF114" s="68"/>
      <c r="AG114" s="231"/>
      <c r="AH114" s="113" t="s">
        <v>19</v>
      </c>
      <c r="AI114" s="58" t="s">
        <v>15</v>
      </c>
      <c r="AJ114" s="195" t="s">
        <v>19</v>
      </c>
      <c r="AK114" s="70" t="s">
        <v>21</v>
      </c>
      <c r="AL114" s="236"/>
      <c r="AM114" s="236"/>
      <c r="AN114" s="236"/>
      <c r="AO114" s="70" t="s">
        <v>22</v>
      </c>
      <c r="AP114" s="68"/>
    </row>
    <row r="115" spans="1:42" ht="28.5" customHeight="1" thickBot="1">
      <c r="B115" s="114" t="str">
        <f>VLOOKUP(B112,tablaequipo,7)</f>
        <v>CPCD 70</v>
      </c>
      <c r="C115" s="231"/>
      <c r="D115" s="113" t="s">
        <v>19</v>
      </c>
      <c r="E115" s="58" t="s">
        <v>15</v>
      </c>
      <c r="F115" s="195" t="s">
        <v>19</v>
      </c>
      <c r="G115" s="146" t="s">
        <v>23</v>
      </c>
      <c r="H115" s="234"/>
      <c r="I115" s="234"/>
      <c r="J115" s="234"/>
      <c r="K115" s="234"/>
      <c r="L115" s="235"/>
      <c r="M115" s="231"/>
      <c r="N115" s="113" t="s">
        <v>19</v>
      </c>
      <c r="O115" s="58" t="s">
        <v>15</v>
      </c>
      <c r="P115" s="195" t="s">
        <v>19</v>
      </c>
      <c r="Q115" s="146" t="s">
        <v>23</v>
      </c>
      <c r="R115" s="234"/>
      <c r="S115" s="234"/>
      <c r="T115" s="234"/>
      <c r="U115" s="234"/>
      <c r="V115" s="235"/>
      <c r="W115" s="231"/>
      <c r="X115" s="113" t="s">
        <v>19</v>
      </c>
      <c r="Y115" s="58" t="s">
        <v>15</v>
      </c>
      <c r="Z115" s="195" t="s">
        <v>19</v>
      </c>
      <c r="AA115" s="146" t="s">
        <v>23</v>
      </c>
      <c r="AB115" s="234"/>
      <c r="AC115" s="234"/>
      <c r="AD115" s="234"/>
      <c r="AE115" s="234"/>
      <c r="AF115" s="235"/>
      <c r="AG115" s="231"/>
      <c r="AH115" s="113" t="s">
        <v>19</v>
      </c>
      <c r="AI115" s="58" t="s">
        <v>15</v>
      </c>
      <c r="AJ115" s="195" t="s">
        <v>19</v>
      </c>
      <c r="AK115" s="146" t="s">
        <v>23</v>
      </c>
      <c r="AL115" s="234"/>
      <c r="AM115" s="234"/>
      <c r="AN115" s="234"/>
      <c r="AO115" s="234"/>
      <c r="AP115" s="235"/>
    </row>
    <row r="116" spans="1:42" ht="28.5" customHeight="1" thickBot="1">
      <c r="B116" s="114">
        <f>VLOOKUP(B112,tablaequipo,8)</f>
        <v>0</v>
      </c>
      <c r="C116" s="231"/>
      <c r="D116" s="113" t="s">
        <v>19</v>
      </c>
      <c r="E116" s="58" t="s">
        <v>15</v>
      </c>
      <c r="F116" s="177" t="s">
        <v>24</v>
      </c>
      <c r="G116" s="70" t="s">
        <v>21</v>
      </c>
      <c r="H116" s="236"/>
      <c r="I116" s="236"/>
      <c r="J116" s="236"/>
      <c r="K116" s="70" t="s">
        <v>22</v>
      </c>
      <c r="L116" s="68"/>
      <c r="M116" s="231"/>
      <c r="N116" s="113" t="s">
        <v>19</v>
      </c>
      <c r="O116" s="58" t="s">
        <v>15</v>
      </c>
      <c r="P116" s="177" t="s">
        <v>24</v>
      </c>
      <c r="Q116" s="70" t="s">
        <v>21</v>
      </c>
      <c r="R116" s="236"/>
      <c r="S116" s="236"/>
      <c r="T116" s="236"/>
      <c r="U116" s="70" t="s">
        <v>22</v>
      </c>
      <c r="V116" s="68"/>
      <c r="W116" s="231"/>
      <c r="X116" s="113" t="s">
        <v>19</v>
      </c>
      <c r="Y116" s="58" t="s">
        <v>15</v>
      </c>
      <c r="Z116" s="177" t="s">
        <v>24</v>
      </c>
      <c r="AA116" s="70" t="s">
        <v>21</v>
      </c>
      <c r="AB116" s="236"/>
      <c r="AC116" s="236"/>
      <c r="AD116" s="236"/>
      <c r="AE116" s="70" t="s">
        <v>22</v>
      </c>
      <c r="AF116" s="68"/>
      <c r="AG116" s="231"/>
      <c r="AH116" s="113" t="s">
        <v>19</v>
      </c>
      <c r="AI116" s="58" t="s">
        <v>15</v>
      </c>
      <c r="AJ116" s="177" t="s">
        <v>24</v>
      </c>
      <c r="AK116" s="70" t="s">
        <v>21</v>
      </c>
      <c r="AL116" s="236"/>
      <c r="AM116" s="236"/>
      <c r="AN116" s="236"/>
      <c r="AO116" s="70" t="s">
        <v>22</v>
      </c>
      <c r="AP116" s="68"/>
    </row>
    <row r="117" spans="1:42" ht="28.5" customHeight="1" thickBot="1">
      <c r="B117" s="121">
        <v>0</v>
      </c>
      <c r="C117" s="231"/>
      <c r="D117" s="113" t="s">
        <v>19</v>
      </c>
      <c r="E117" s="58" t="s">
        <v>15</v>
      </c>
      <c r="F117" s="196" t="s">
        <v>16</v>
      </c>
      <c r="G117" s="140" t="s">
        <v>25</v>
      </c>
      <c r="H117" s="237" t="s">
        <v>26</v>
      </c>
      <c r="I117" s="238"/>
      <c r="J117" s="140" t="s">
        <v>27</v>
      </c>
      <c r="K117" s="237" t="s">
        <v>28</v>
      </c>
      <c r="L117" s="239"/>
      <c r="M117" s="231"/>
      <c r="N117" s="113" t="s">
        <v>19</v>
      </c>
      <c r="O117" s="58" t="s">
        <v>15</v>
      </c>
      <c r="P117" s="196" t="s">
        <v>16</v>
      </c>
      <c r="Q117" s="140" t="s">
        <v>25</v>
      </c>
      <c r="R117" s="237" t="s">
        <v>26</v>
      </c>
      <c r="S117" s="238"/>
      <c r="T117" s="140" t="s">
        <v>27</v>
      </c>
      <c r="U117" s="237" t="s">
        <v>28</v>
      </c>
      <c r="V117" s="239"/>
      <c r="W117" s="231"/>
      <c r="X117" s="113" t="s">
        <v>19</v>
      </c>
      <c r="Y117" s="58" t="s">
        <v>15</v>
      </c>
      <c r="Z117" s="196" t="s">
        <v>16</v>
      </c>
      <c r="AA117" s="140" t="s">
        <v>25</v>
      </c>
      <c r="AB117" s="237" t="s">
        <v>26</v>
      </c>
      <c r="AC117" s="238"/>
      <c r="AD117" s="140" t="s">
        <v>27</v>
      </c>
      <c r="AE117" s="237" t="s">
        <v>28</v>
      </c>
      <c r="AF117" s="239"/>
      <c r="AG117" s="231"/>
      <c r="AH117" s="113" t="s">
        <v>19</v>
      </c>
      <c r="AI117" s="58" t="s">
        <v>15</v>
      </c>
      <c r="AJ117" s="196" t="s">
        <v>16</v>
      </c>
      <c r="AK117" s="140" t="s">
        <v>25</v>
      </c>
      <c r="AL117" s="237" t="s">
        <v>26</v>
      </c>
      <c r="AM117" s="238"/>
      <c r="AN117" s="140" t="s">
        <v>27</v>
      </c>
      <c r="AO117" s="237" t="s">
        <v>28</v>
      </c>
      <c r="AP117" s="239"/>
    </row>
    <row r="118" spans="1:42" ht="28.5" customHeight="1" thickBot="1">
      <c r="B118" s="122" t="str">
        <f>VLOOKUP(B117,tablapermiso,3)</f>
        <v>Seleccione Gestion</v>
      </c>
      <c r="C118" s="232"/>
      <c r="D118" s="113" t="s">
        <v>19</v>
      </c>
      <c r="E118" s="58" t="s">
        <v>15</v>
      </c>
      <c r="F118" s="196" t="s">
        <v>19</v>
      </c>
      <c r="G118" s="141">
        <v>0</v>
      </c>
      <c r="H118" s="240" t="str">
        <f>VLOOKUP(G118,tablaestado,3)</f>
        <v>Seleccione Estado</v>
      </c>
      <c r="I118" s="240"/>
      <c r="J118" s="240"/>
      <c r="K118" s="240"/>
      <c r="L118" s="241"/>
      <c r="M118" s="232"/>
      <c r="N118" s="113" t="s">
        <v>19</v>
      </c>
      <c r="O118" s="58" t="s">
        <v>15</v>
      </c>
      <c r="P118" s="196" t="s">
        <v>19</v>
      </c>
      <c r="Q118" s="141">
        <v>0</v>
      </c>
      <c r="R118" s="240" t="str">
        <f>VLOOKUP(Q118,tablaestado,3)</f>
        <v>Seleccione Estado</v>
      </c>
      <c r="S118" s="240"/>
      <c r="T118" s="240"/>
      <c r="U118" s="240"/>
      <c r="V118" s="241"/>
      <c r="W118" s="232"/>
      <c r="X118" s="113" t="s">
        <v>19</v>
      </c>
      <c r="Y118" s="58" t="s">
        <v>15</v>
      </c>
      <c r="Z118" s="196" t="s">
        <v>19</v>
      </c>
      <c r="AA118" s="141">
        <v>0</v>
      </c>
      <c r="AB118" s="240" t="str">
        <f>VLOOKUP(AA118,tablaestado,3)</f>
        <v>Seleccione Estado</v>
      </c>
      <c r="AC118" s="240"/>
      <c r="AD118" s="240"/>
      <c r="AE118" s="240"/>
      <c r="AF118" s="241"/>
      <c r="AG118" s="232"/>
      <c r="AH118" s="113" t="s">
        <v>19</v>
      </c>
      <c r="AI118" s="58" t="s">
        <v>15</v>
      </c>
      <c r="AJ118" s="196" t="s">
        <v>19</v>
      </c>
      <c r="AK118" s="141">
        <v>0</v>
      </c>
      <c r="AL118" s="240" t="str">
        <f>VLOOKUP(AK118,tablaestado,3)</f>
        <v>Seleccione Estado</v>
      </c>
      <c r="AM118" s="240"/>
      <c r="AN118" s="240"/>
      <c r="AO118" s="240"/>
      <c r="AP118" s="241"/>
    </row>
    <row r="119" spans="1:42" ht="28.5" customHeight="1" thickBot="1">
      <c r="B119" s="251" t="s">
        <v>1</v>
      </c>
      <c r="C119" s="222" t="s">
        <v>2</v>
      </c>
      <c r="D119" s="112" t="s">
        <v>3</v>
      </c>
      <c r="E119" s="224" t="s">
        <v>4</v>
      </c>
      <c r="F119" s="225"/>
      <c r="G119" s="226" t="s">
        <v>5</v>
      </c>
      <c r="H119" s="227"/>
      <c r="I119" s="227"/>
      <c r="J119" s="227"/>
      <c r="K119" s="227"/>
      <c r="L119" s="228"/>
      <c r="M119" s="222" t="s">
        <v>2</v>
      </c>
      <c r="N119" s="112" t="s">
        <v>3</v>
      </c>
      <c r="O119" s="224" t="s">
        <v>4</v>
      </c>
      <c r="P119" s="225"/>
      <c r="Q119" s="226" t="s">
        <v>6</v>
      </c>
      <c r="R119" s="227"/>
      <c r="S119" s="227"/>
      <c r="T119" s="227"/>
      <c r="U119" s="227"/>
      <c r="V119" s="228"/>
      <c r="W119" s="222" t="s">
        <v>2</v>
      </c>
      <c r="X119" s="112" t="s">
        <v>3</v>
      </c>
      <c r="Y119" s="224" t="s">
        <v>4</v>
      </c>
      <c r="Z119" s="225"/>
      <c r="AA119" s="226" t="s">
        <v>7</v>
      </c>
      <c r="AB119" s="227"/>
      <c r="AC119" s="227"/>
      <c r="AD119" s="227"/>
      <c r="AE119" s="227"/>
      <c r="AF119" s="228"/>
      <c r="AG119" s="222" t="s">
        <v>2</v>
      </c>
      <c r="AH119" s="112" t="s">
        <v>3</v>
      </c>
      <c r="AI119" s="224" t="s">
        <v>4</v>
      </c>
      <c r="AJ119" s="225"/>
      <c r="AK119" s="226" t="s">
        <v>8</v>
      </c>
      <c r="AL119" s="227"/>
      <c r="AM119" s="227"/>
      <c r="AN119" s="227"/>
      <c r="AO119" s="227"/>
      <c r="AP119" s="228"/>
    </row>
    <row r="120" spans="1:42" ht="28.5" customHeight="1" thickBot="1">
      <c r="B120" s="252"/>
      <c r="C120" s="223"/>
      <c r="D120" s="199" t="s">
        <v>9</v>
      </c>
      <c r="E120" s="199" t="s">
        <v>10</v>
      </c>
      <c r="F120" s="112" t="s">
        <v>9</v>
      </c>
      <c r="G120" s="229" t="s">
        <v>11</v>
      </c>
      <c r="H120" s="229"/>
      <c r="I120" s="71" t="s">
        <v>12</v>
      </c>
      <c r="J120" s="147">
        <v>0</v>
      </c>
      <c r="K120" s="71" t="s">
        <v>13</v>
      </c>
      <c r="L120" s="148">
        <v>0</v>
      </c>
      <c r="M120" s="223"/>
      <c r="N120" s="199" t="s">
        <v>9</v>
      </c>
      <c r="O120" s="199" t="s">
        <v>10</v>
      </c>
      <c r="P120" s="112" t="s">
        <v>9</v>
      </c>
      <c r="Q120" s="229" t="s">
        <v>11</v>
      </c>
      <c r="R120" s="229"/>
      <c r="S120" s="71" t="s">
        <v>12</v>
      </c>
      <c r="T120" s="147">
        <v>0</v>
      </c>
      <c r="U120" s="71" t="s">
        <v>13</v>
      </c>
      <c r="V120" s="148">
        <v>0</v>
      </c>
      <c r="W120" s="223"/>
      <c r="X120" s="199" t="s">
        <v>9</v>
      </c>
      <c r="Y120" s="199" t="s">
        <v>10</v>
      </c>
      <c r="Z120" s="112" t="s">
        <v>9</v>
      </c>
      <c r="AA120" s="229" t="s">
        <v>11</v>
      </c>
      <c r="AB120" s="229"/>
      <c r="AC120" s="71" t="s">
        <v>12</v>
      </c>
      <c r="AD120" s="147">
        <v>0</v>
      </c>
      <c r="AE120" s="71" t="s">
        <v>13</v>
      </c>
      <c r="AF120" s="148">
        <v>0</v>
      </c>
      <c r="AG120" s="223"/>
      <c r="AH120" s="199" t="s">
        <v>9</v>
      </c>
      <c r="AI120" s="199" t="s">
        <v>10</v>
      </c>
      <c r="AJ120" s="112" t="s">
        <v>9</v>
      </c>
      <c r="AK120" s="229" t="s">
        <v>11</v>
      </c>
      <c r="AL120" s="229"/>
      <c r="AM120" s="71" t="s">
        <v>12</v>
      </c>
      <c r="AN120" s="147">
        <v>0</v>
      </c>
      <c r="AO120" s="71" t="s">
        <v>13</v>
      </c>
      <c r="AP120" s="148">
        <v>0</v>
      </c>
    </row>
    <row r="121" spans="1:42" ht="28.5" customHeight="1">
      <c r="A121" s="132"/>
      <c r="B121" s="58" t="s">
        <v>48</v>
      </c>
      <c r="C121" s="230"/>
      <c r="D121" s="113" t="s">
        <v>16</v>
      </c>
      <c r="E121" s="58" t="s">
        <v>15</v>
      </c>
      <c r="F121" s="195" t="s">
        <v>16</v>
      </c>
      <c r="G121" s="69" t="s">
        <v>17</v>
      </c>
      <c r="H121" s="233"/>
      <c r="I121" s="233"/>
      <c r="J121" s="233"/>
      <c r="K121" s="69" t="s">
        <v>18</v>
      </c>
      <c r="L121" s="72"/>
      <c r="M121" s="230"/>
      <c r="N121" s="113" t="s">
        <v>16</v>
      </c>
      <c r="O121" s="58" t="s">
        <v>15</v>
      </c>
      <c r="P121" s="195" t="s">
        <v>16</v>
      </c>
      <c r="Q121" s="69" t="s">
        <v>17</v>
      </c>
      <c r="R121" s="233"/>
      <c r="S121" s="233"/>
      <c r="T121" s="233"/>
      <c r="U121" s="69" t="s">
        <v>18</v>
      </c>
      <c r="V121" s="72"/>
      <c r="W121" s="230"/>
      <c r="X121" s="113" t="s">
        <v>16</v>
      </c>
      <c r="Y121" s="58" t="s">
        <v>15</v>
      </c>
      <c r="Z121" s="195" t="s">
        <v>16</v>
      </c>
      <c r="AA121" s="69" t="s">
        <v>17</v>
      </c>
      <c r="AB121" s="233"/>
      <c r="AC121" s="233"/>
      <c r="AD121" s="233"/>
      <c r="AE121" s="69" t="s">
        <v>18</v>
      </c>
      <c r="AF121" s="72"/>
      <c r="AG121" s="230"/>
      <c r="AH121" s="113" t="s">
        <v>16</v>
      </c>
      <c r="AI121" s="58" t="s">
        <v>15</v>
      </c>
      <c r="AJ121" s="195" t="s">
        <v>16</v>
      </c>
      <c r="AK121" s="69" t="s">
        <v>17</v>
      </c>
      <c r="AL121" s="233"/>
      <c r="AM121" s="233"/>
      <c r="AN121" s="233"/>
      <c r="AO121" s="69" t="s">
        <v>18</v>
      </c>
      <c r="AP121" s="72"/>
    </row>
    <row r="122" spans="1:42" ht="28.5" customHeight="1">
      <c r="B122" s="114" t="str">
        <f>VLOOKUP(B121,tablaequipo,4)</f>
        <v>Autoelevador</v>
      </c>
      <c r="C122" s="231"/>
      <c r="D122" s="113" t="s">
        <v>19</v>
      </c>
      <c r="E122" s="58" t="s">
        <v>15</v>
      </c>
      <c r="F122" s="195" t="s">
        <v>19</v>
      </c>
      <c r="G122" s="146" t="s">
        <v>20</v>
      </c>
      <c r="H122" s="234"/>
      <c r="I122" s="234"/>
      <c r="J122" s="234"/>
      <c r="K122" s="234"/>
      <c r="L122" s="235"/>
      <c r="M122" s="231"/>
      <c r="N122" s="113" t="s">
        <v>19</v>
      </c>
      <c r="O122" s="58" t="s">
        <v>15</v>
      </c>
      <c r="P122" s="195" t="s">
        <v>19</v>
      </c>
      <c r="Q122" s="146" t="s">
        <v>20</v>
      </c>
      <c r="R122" s="234"/>
      <c r="S122" s="234"/>
      <c r="T122" s="234"/>
      <c r="U122" s="234"/>
      <c r="V122" s="235"/>
      <c r="W122" s="231"/>
      <c r="X122" s="113" t="s">
        <v>19</v>
      </c>
      <c r="Y122" s="58" t="s">
        <v>15</v>
      </c>
      <c r="Z122" s="195" t="s">
        <v>19</v>
      </c>
      <c r="AA122" s="146" t="s">
        <v>20</v>
      </c>
      <c r="AB122" s="234"/>
      <c r="AC122" s="234"/>
      <c r="AD122" s="234"/>
      <c r="AE122" s="234"/>
      <c r="AF122" s="235"/>
      <c r="AG122" s="231"/>
      <c r="AH122" s="113" t="s">
        <v>19</v>
      </c>
      <c r="AI122" s="58" t="s">
        <v>15</v>
      </c>
      <c r="AJ122" s="195" t="s">
        <v>19</v>
      </c>
      <c r="AK122" s="146" t="s">
        <v>20</v>
      </c>
      <c r="AL122" s="234"/>
      <c r="AM122" s="234"/>
      <c r="AN122" s="234"/>
      <c r="AO122" s="234"/>
      <c r="AP122" s="235"/>
    </row>
    <row r="123" spans="1:42" ht="28.5" customHeight="1">
      <c r="B123" s="114" t="str">
        <f>VLOOKUP(B121,tablaequipo,6)</f>
        <v>SINOBANG</v>
      </c>
      <c r="C123" s="231"/>
      <c r="D123" s="113" t="s">
        <v>19</v>
      </c>
      <c r="E123" s="58" t="s">
        <v>15</v>
      </c>
      <c r="F123" s="195" t="s">
        <v>19</v>
      </c>
      <c r="G123" s="70" t="s">
        <v>21</v>
      </c>
      <c r="H123" s="236"/>
      <c r="I123" s="236"/>
      <c r="J123" s="236"/>
      <c r="K123" s="70" t="s">
        <v>22</v>
      </c>
      <c r="L123" s="68"/>
      <c r="M123" s="231"/>
      <c r="N123" s="113" t="s">
        <v>19</v>
      </c>
      <c r="O123" s="58" t="s">
        <v>15</v>
      </c>
      <c r="P123" s="195" t="s">
        <v>19</v>
      </c>
      <c r="Q123" s="70" t="s">
        <v>21</v>
      </c>
      <c r="R123" s="236"/>
      <c r="S123" s="236"/>
      <c r="T123" s="236"/>
      <c r="U123" s="70" t="s">
        <v>22</v>
      </c>
      <c r="V123" s="68"/>
      <c r="W123" s="231"/>
      <c r="X123" s="113" t="s">
        <v>19</v>
      </c>
      <c r="Y123" s="58" t="s">
        <v>15</v>
      </c>
      <c r="Z123" s="195" t="s">
        <v>19</v>
      </c>
      <c r="AA123" s="70" t="s">
        <v>21</v>
      </c>
      <c r="AB123" s="236"/>
      <c r="AC123" s="236"/>
      <c r="AD123" s="236"/>
      <c r="AE123" s="70" t="s">
        <v>22</v>
      </c>
      <c r="AF123" s="68"/>
      <c r="AG123" s="231"/>
      <c r="AH123" s="113" t="s">
        <v>19</v>
      </c>
      <c r="AI123" s="58" t="s">
        <v>15</v>
      </c>
      <c r="AJ123" s="195" t="s">
        <v>19</v>
      </c>
      <c r="AK123" s="70" t="s">
        <v>21</v>
      </c>
      <c r="AL123" s="236"/>
      <c r="AM123" s="236"/>
      <c r="AN123" s="236"/>
      <c r="AO123" s="70" t="s">
        <v>22</v>
      </c>
      <c r="AP123" s="68"/>
    </row>
    <row r="124" spans="1:42" ht="28.5" customHeight="1" thickBot="1">
      <c r="B124" s="114" t="str">
        <f>VLOOKUP(B121,tablaequipo,7)</f>
        <v>CPCD 25</v>
      </c>
      <c r="C124" s="231"/>
      <c r="D124" s="113" t="s">
        <v>19</v>
      </c>
      <c r="E124" s="58" t="s">
        <v>15</v>
      </c>
      <c r="F124" s="195" t="s">
        <v>19</v>
      </c>
      <c r="G124" s="146" t="s">
        <v>23</v>
      </c>
      <c r="H124" s="234"/>
      <c r="I124" s="234"/>
      <c r="J124" s="234"/>
      <c r="K124" s="234"/>
      <c r="L124" s="235"/>
      <c r="M124" s="231"/>
      <c r="N124" s="113" t="s">
        <v>19</v>
      </c>
      <c r="O124" s="58" t="s">
        <v>15</v>
      </c>
      <c r="P124" s="195" t="s">
        <v>19</v>
      </c>
      <c r="Q124" s="146" t="s">
        <v>23</v>
      </c>
      <c r="R124" s="234"/>
      <c r="S124" s="234"/>
      <c r="T124" s="234"/>
      <c r="U124" s="234"/>
      <c r="V124" s="235"/>
      <c r="W124" s="231"/>
      <c r="X124" s="113" t="s">
        <v>19</v>
      </c>
      <c r="Y124" s="58" t="s">
        <v>15</v>
      </c>
      <c r="Z124" s="195" t="s">
        <v>19</v>
      </c>
      <c r="AA124" s="146" t="s">
        <v>23</v>
      </c>
      <c r="AB124" s="234"/>
      <c r="AC124" s="234"/>
      <c r="AD124" s="234"/>
      <c r="AE124" s="234"/>
      <c r="AF124" s="235"/>
      <c r="AG124" s="231"/>
      <c r="AH124" s="113" t="s">
        <v>19</v>
      </c>
      <c r="AI124" s="58" t="s">
        <v>15</v>
      </c>
      <c r="AJ124" s="195" t="s">
        <v>19</v>
      </c>
      <c r="AK124" s="146" t="s">
        <v>23</v>
      </c>
      <c r="AL124" s="234"/>
      <c r="AM124" s="234"/>
      <c r="AN124" s="234"/>
      <c r="AO124" s="234"/>
      <c r="AP124" s="235"/>
    </row>
    <row r="125" spans="1:42" ht="28.5" customHeight="1" thickBot="1">
      <c r="B125" s="114">
        <f>VLOOKUP(B121,tablaequipo,8)</f>
        <v>0</v>
      </c>
      <c r="C125" s="231"/>
      <c r="D125" s="113" t="s">
        <v>19</v>
      </c>
      <c r="E125" s="58" t="s">
        <v>15</v>
      </c>
      <c r="F125" s="177" t="s">
        <v>24</v>
      </c>
      <c r="G125" s="70" t="s">
        <v>21</v>
      </c>
      <c r="H125" s="236"/>
      <c r="I125" s="236"/>
      <c r="J125" s="236"/>
      <c r="K125" s="70" t="s">
        <v>22</v>
      </c>
      <c r="L125" s="68"/>
      <c r="M125" s="231"/>
      <c r="N125" s="113" t="s">
        <v>19</v>
      </c>
      <c r="O125" s="58" t="s">
        <v>15</v>
      </c>
      <c r="P125" s="177" t="s">
        <v>24</v>
      </c>
      <c r="Q125" s="70" t="s">
        <v>21</v>
      </c>
      <c r="R125" s="236"/>
      <c r="S125" s="236"/>
      <c r="T125" s="236"/>
      <c r="U125" s="70" t="s">
        <v>22</v>
      </c>
      <c r="V125" s="68"/>
      <c r="W125" s="231"/>
      <c r="X125" s="113" t="s">
        <v>19</v>
      </c>
      <c r="Y125" s="58" t="s">
        <v>15</v>
      </c>
      <c r="Z125" s="177" t="s">
        <v>24</v>
      </c>
      <c r="AA125" s="70" t="s">
        <v>21</v>
      </c>
      <c r="AB125" s="236"/>
      <c r="AC125" s="236"/>
      <c r="AD125" s="236"/>
      <c r="AE125" s="70" t="s">
        <v>22</v>
      </c>
      <c r="AF125" s="68"/>
      <c r="AG125" s="231"/>
      <c r="AH125" s="113" t="s">
        <v>19</v>
      </c>
      <c r="AI125" s="58" t="s">
        <v>15</v>
      </c>
      <c r="AJ125" s="177" t="s">
        <v>24</v>
      </c>
      <c r="AK125" s="70" t="s">
        <v>21</v>
      </c>
      <c r="AL125" s="236"/>
      <c r="AM125" s="236"/>
      <c r="AN125" s="236"/>
      <c r="AO125" s="70" t="s">
        <v>22</v>
      </c>
      <c r="AP125" s="68"/>
    </row>
    <row r="126" spans="1:42" ht="28.5" customHeight="1" thickBot="1">
      <c r="B126" s="121">
        <v>0</v>
      </c>
      <c r="C126" s="231"/>
      <c r="D126" s="113" t="s">
        <v>19</v>
      </c>
      <c r="E126" s="58" t="s">
        <v>15</v>
      </c>
      <c r="F126" s="196" t="s">
        <v>16</v>
      </c>
      <c r="G126" s="140" t="s">
        <v>25</v>
      </c>
      <c r="H126" s="237" t="s">
        <v>26</v>
      </c>
      <c r="I126" s="238"/>
      <c r="J126" s="140" t="s">
        <v>27</v>
      </c>
      <c r="K126" s="237" t="s">
        <v>28</v>
      </c>
      <c r="L126" s="239"/>
      <c r="M126" s="231"/>
      <c r="N126" s="113" t="s">
        <v>19</v>
      </c>
      <c r="O126" s="58" t="s">
        <v>15</v>
      </c>
      <c r="P126" s="196" t="s">
        <v>16</v>
      </c>
      <c r="Q126" s="140" t="s">
        <v>25</v>
      </c>
      <c r="R126" s="237" t="s">
        <v>26</v>
      </c>
      <c r="S126" s="238"/>
      <c r="T126" s="140" t="s">
        <v>27</v>
      </c>
      <c r="U126" s="237" t="s">
        <v>28</v>
      </c>
      <c r="V126" s="239"/>
      <c r="W126" s="231"/>
      <c r="X126" s="113" t="s">
        <v>19</v>
      </c>
      <c r="Y126" s="58" t="s">
        <v>15</v>
      </c>
      <c r="Z126" s="196" t="s">
        <v>16</v>
      </c>
      <c r="AA126" s="140" t="s">
        <v>25</v>
      </c>
      <c r="AB126" s="237" t="s">
        <v>26</v>
      </c>
      <c r="AC126" s="238"/>
      <c r="AD126" s="140" t="s">
        <v>27</v>
      </c>
      <c r="AE126" s="237" t="s">
        <v>28</v>
      </c>
      <c r="AF126" s="239"/>
      <c r="AG126" s="231"/>
      <c r="AH126" s="113" t="s">
        <v>19</v>
      </c>
      <c r="AI126" s="58" t="s">
        <v>15</v>
      </c>
      <c r="AJ126" s="196" t="s">
        <v>16</v>
      </c>
      <c r="AK126" s="140" t="s">
        <v>25</v>
      </c>
      <c r="AL126" s="237" t="s">
        <v>26</v>
      </c>
      <c r="AM126" s="238"/>
      <c r="AN126" s="140" t="s">
        <v>27</v>
      </c>
      <c r="AO126" s="237" t="s">
        <v>28</v>
      </c>
      <c r="AP126" s="239"/>
    </row>
    <row r="127" spans="1:42" ht="28.5" customHeight="1" thickBot="1">
      <c r="B127" s="122" t="str">
        <f>VLOOKUP(B126,tablapermiso,3)</f>
        <v>Seleccione Gestion</v>
      </c>
      <c r="C127" s="232"/>
      <c r="D127" s="113" t="s">
        <v>19</v>
      </c>
      <c r="E127" s="58" t="s">
        <v>15</v>
      </c>
      <c r="F127" s="196" t="s">
        <v>19</v>
      </c>
      <c r="G127" s="141">
        <v>0</v>
      </c>
      <c r="H127" s="240" t="str">
        <f>VLOOKUP(G127,tablaestado,3)</f>
        <v>Seleccione Estado</v>
      </c>
      <c r="I127" s="240"/>
      <c r="J127" s="240"/>
      <c r="K127" s="240"/>
      <c r="L127" s="241"/>
      <c r="M127" s="232"/>
      <c r="N127" s="113" t="s">
        <v>19</v>
      </c>
      <c r="O127" s="58" t="s">
        <v>15</v>
      </c>
      <c r="P127" s="196" t="s">
        <v>19</v>
      </c>
      <c r="Q127" s="141">
        <v>0</v>
      </c>
      <c r="R127" s="240" t="str">
        <f>VLOOKUP(Q127,tablaestado,3)</f>
        <v>Seleccione Estado</v>
      </c>
      <c r="S127" s="240"/>
      <c r="T127" s="240"/>
      <c r="U127" s="240"/>
      <c r="V127" s="241"/>
      <c r="W127" s="232"/>
      <c r="X127" s="113" t="s">
        <v>19</v>
      </c>
      <c r="Y127" s="58" t="s">
        <v>15</v>
      </c>
      <c r="Z127" s="196" t="s">
        <v>19</v>
      </c>
      <c r="AA127" s="141">
        <v>0</v>
      </c>
      <c r="AB127" s="240" t="str">
        <f>VLOOKUP(AA127,tablaestado,3)</f>
        <v>Seleccione Estado</v>
      </c>
      <c r="AC127" s="240"/>
      <c r="AD127" s="240"/>
      <c r="AE127" s="240"/>
      <c r="AF127" s="241"/>
      <c r="AG127" s="232"/>
      <c r="AH127" s="113" t="s">
        <v>19</v>
      </c>
      <c r="AI127" s="58" t="s">
        <v>15</v>
      </c>
      <c r="AJ127" s="196" t="s">
        <v>19</v>
      </c>
      <c r="AK127" s="141">
        <v>0</v>
      </c>
      <c r="AL127" s="240" t="str">
        <f>VLOOKUP(AK127,tablaestado,3)</f>
        <v>Seleccione Estado</v>
      </c>
      <c r="AM127" s="240"/>
      <c r="AN127" s="240"/>
      <c r="AO127" s="240"/>
      <c r="AP127" s="241"/>
    </row>
    <row r="128" spans="1:42" ht="28.5" customHeight="1" thickBot="1">
      <c r="B128" s="251" t="s">
        <v>1</v>
      </c>
      <c r="C128" s="222" t="s">
        <v>2</v>
      </c>
      <c r="D128" s="112" t="s">
        <v>3</v>
      </c>
      <c r="E128" s="224" t="s">
        <v>4</v>
      </c>
      <c r="F128" s="225"/>
      <c r="G128" s="226" t="s">
        <v>5</v>
      </c>
      <c r="H128" s="227"/>
      <c r="I128" s="227"/>
      <c r="J128" s="227"/>
      <c r="K128" s="227"/>
      <c r="L128" s="228"/>
      <c r="M128" s="222" t="s">
        <v>2</v>
      </c>
      <c r="N128" s="112" t="s">
        <v>3</v>
      </c>
      <c r="O128" s="224" t="s">
        <v>4</v>
      </c>
      <c r="P128" s="225"/>
      <c r="Q128" s="226" t="s">
        <v>6</v>
      </c>
      <c r="R128" s="227"/>
      <c r="S128" s="227"/>
      <c r="T128" s="227"/>
      <c r="U128" s="227"/>
      <c r="V128" s="228"/>
      <c r="W128" s="222" t="s">
        <v>2</v>
      </c>
      <c r="X128" s="112" t="s">
        <v>3</v>
      </c>
      <c r="Y128" s="224" t="s">
        <v>4</v>
      </c>
      <c r="Z128" s="225"/>
      <c r="AA128" s="226" t="s">
        <v>7</v>
      </c>
      <c r="AB128" s="227"/>
      <c r="AC128" s="227"/>
      <c r="AD128" s="227"/>
      <c r="AE128" s="227"/>
      <c r="AF128" s="228"/>
      <c r="AG128" s="222" t="s">
        <v>2</v>
      </c>
      <c r="AH128" s="112" t="s">
        <v>3</v>
      </c>
      <c r="AI128" s="224" t="s">
        <v>4</v>
      </c>
      <c r="AJ128" s="225"/>
      <c r="AK128" s="226" t="s">
        <v>8</v>
      </c>
      <c r="AL128" s="227"/>
      <c r="AM128" s="227"/>
      <c r="AN128" s="227"/>
      <c r="AO128" s="227"/>
      <c r="AP128" s="228"/>
    </row>
    <row r="129" spans="1:42" ht="28.5" customHeight="1" thickBot="1">
      <c r="B129" s="252"/>
      <c r="C129" s="223"/>
      <c r="D129" s="199" t="s">
        <v>9</v>
      </c>
      <c r="E129" s="199" t="s">
        <v>10</v>
      </c>
      <c r="F129" s="112" t="s">
        <v>9</v>
      </c>
      <c r="G129" s="229" t="s">
        <v>11</v>
      </c>
      <c r="H129" s="229"/>
      <c r="I129" s="71" t="s">
        <v>12</v>
      </c>
      <c r="J129" s="147">
        <v>0</v>
      </c>
      <c r="K129" s="71" t="s">
        <v>13</v>
      </c>
      <c r="L129" s="148">
        <v>0</v>
      </c>
      <c r="M129" s="223"/>
      <c r="N129" s="199" t="s">
        <v>9</v>
      </c>
      <c r="O129" s="199" t="s">
        <v>10</v>
      </c>
      <c r="P129" s="112" t="s">
        <v>9</v>
      </c>
      <c r="Q129" s="229" t="s">
        <v>11</v>
      </c>
      <c r="R129" s="229"/>
      <c r="S129" s="71" t="s">
        <v>12</v>
      </c>
      <c r="T129" s="147">
        <v>0</v>
      </c>
      <c r="U129" s="71" t="s">
        <v>13</v>
      </c>
      <c r="V129" s="148">
        <v>0</v>
      </c>
      <c r="W129" s="223"/>
      <c r="X129" s="199" t="s">
        <v>9</v>
      </c>
      <c r="Y129" s="199" t="s">
        <v>10</v>
      </c>
      <c r="Z129" s="112" t="s">
        <v>9</v>
      </c>
      <c r="AA129" s="229" t="s">
        <v>11</v>
      </c>
      <c r="AB129" s="229"/>
      <c r="AC129" s="71" t="s">
        <v>12</v>
      </c>
      <c r="AD129" s="147">
        <v>0</v>
      </c>
      <c r="AE129" s="71" t="s">
        <v>13</v>
      </c>
      <c r="AF129" s="148">
        <v>0</v>
      </c>
      <c r="AG129" s="223"/>
      <c r="AH129" s="199" t="s">
        <v>9</v>
      </c>
      <c r="AI129" s="199" t="s">
        <v>10</v>
      </c>
      <c r="AJ129" s="112" t="s">
        <v>9</v>
      </c>
      <c r="AK129" s="229" t="s">
        <v>11</v>
      </c>
      <c r="AL129" s="229"/>
      <c r="AM129" s="71" t="s">
        <v>12</v>
      </c>
      <c r="AN129" s="147">
        <v>0</v>
      </c>
      <c r="AO129" s="71" t="s">
        <v>13</v>
      </c>
      <c r="AP129" s="148">
        <v>0</v>
      </c>
    </row>
    <row r="130" spans="1:42" ht="28.5" customHeight="1">
      <c r="A130" s="132"/>
      <c r="B130" s="58" t="s">
        <v>49</v>
      </c>
      <c r="C130" s="230"/>
      <c r="D130" s="113" t="s">
        <v>16</v>
      </c>
      <c r="E130" s="58" t="s">
        <v>15</v>
      </c>
      <c r="F130" s="195" t="s">
        <v>16</v>
      </c>
      <c r="G130" s="69" t="s">
        <v>17</v>
      </c>
      <c r="H130" s="233"/>
      <c r="I130" s="233"/>
      <c r="J130" s="233"/>
      <c r="K130" s="69" t="s">
        <v>18</v>
      </c>
      <c r="L130" s="72"/>
      <c r="M130" s="230"/>
      <c r="N130" s="113" t="s">
        <v>16</v>
      </c>
      <c r="O130" s="58" t="s">
        <v>15</v>
      </c>
      <c r="P130" s="195" t="s">
        <v>16</v>
      </c>
      <c r="Q130" s="69" t="s">
        <v>17</v>
      </c>
      <c r="R130" s="233"/>
      <c r="S130" s="233"/>
      <c r="T130" s="233"/>
      <c r="U130" s="69" t="s">
        <v>18</v>
      </c>
      <c r="V130" s="72"/>
      <c r="W130" s="230"/>
      <c r="X130" s="113" t="s">
        <v>16</v>
      </c>
      <c r="Y130" s="58" t="s">
        <v>15</v>
      </c>
      <c r="Z130" s="195" t="s">
        <v>16</v>
      </c>
      <c r="AA130" s="69" t="s">
        <v>17</v>
      </c>
      <c r="AB130" s="233"/>
      <c r="AC130" s="233"/>
      <c r="AD130" s="233"/>
      <c r="AE130" s="69" t="s">
        <v>18</v>
      </c>
      <c r="AF130" s="72"/>
      <c r="AG130" s="230"/>
      <c r="AH130" s="113" t="s">
        <v>16</v>
      </c>
      <c r="AI130" s="58" t="s">
        <v>15</v>
      </c>
      <c r="AJ130" s="195" t="s">
        <v>16</v>
      </c>
      <c r="AK130" s="69" t="s">
        <v>17</v>
      </c>
      <c r="AL130" s="233"/>
      <c r="AM130" s="233"/>
      <c r="AN130" s="233"/>
      <c r="AO130" s="69" t="s">
        <v>18</v>
      </c>
      <c r="AP130" s="72"/>
    </row>
    <row r="131" spans="1:42" ht="28.5" customHeight="1">
      <c r="B131" s="114" t="str">
        <f>VLOOKUP(B130,tablaequipo,4)</f>
        <v>Autoelevador</v>
      </c>
      <c r="C131" s="231"/>
      <c r="D131" s="113" t="s">
        <v>19</v>
      </c>
      <c r="E131" s="58" t="s">
        <v>15</v>
      </c>
      <c r="F131" s="195" t="s">
        <v>19</v>
      </c>
      <c r="G131" s="146" t="s">
        <v>20</v>
      </c>
      <c r="H131" s="234"/>
      <c r="I131" s="234"/>
      <c r="J131" s="234"/>
      <c r="K131" s="234"/>
      <c r="L131" s="235"/>
      <c r="M131" s="231"/>
      <c r="N131" s="113" t="s">
        <v>19</v>
      </c>
      <c r="O131" s="58" t="s">
        <v>15</v>
      </c>
      <c r="P131" s="195" t="s">
        <v>19</v>
      </c>
      <c r="Q131" s="146" t="s">
        <v>20</v>
      </c>
      <c r="R131" s="234"/>
      <c r="S131" s="234"/>
      <c r="T131" s="234"/>
      <c r="U131" s="234"/>
      <c r="V131" s="235"/>
      <c r="W131" s="231"/>
      <c r="X131" s="113" t="s">
        <v>19</v>
      </c>
      <c r="Y131" s="58" t="s">
        <v>15</v>
      </c>
      <c r="Z131" s="195" t="s">
        <v>19</v>
      </c>
      <c r="AA131" s="146" t="s">
        <v>20</v>
      </c>
      <c r="AB131" s="234"/>
      <c r="AC131" s="234"/>
      <c r="AD131" s="234"/>
      <c r="AE131" s="234"/>
      <c r="AF131" s="235"/>
      <c r="AG131" s="231"/>
      <c r="AH131" s="113" t="s">
        <v>19</v>
      </c>
      <c r="AI131" s="58" t="s">
        <v>15</v>
      </c>
      <c r="AJ131" s="195" t="s">
        <v>19</v>
      </c>
      <c r="AK131" s="146" t="s">
        <v>20</v>
      </c>
      <c r="AL131" s="234"/>
      <c r="AM131" s="234"/>
      <c r="AN131" s="234"/>
      <c r="AO131" s="234"/>
      <c r="AP131" s="235"/>
    </row>
    <row r="132" spans="1:42" ht="28.5" customHeight="1">
      <c r="B132" s="114" t="str">
        <f>VLOOKUP(B130,tablaequipo,6)</f>
        <v>SINOBANG</v>
      </c>
      <c r="C132" s="231"/>
      <c r="D132" s="113" t="s">
        <v>19</v>
      </c>
      <c r="E132" s="58" t="s">
        <v>15</v>
      </c>
      <c r="F132" s="195" t="s">
        <v>19</v>
      </c>
      <c r="G132" s="70" t="s">
        <v>21</v>
      </c>
      <c r="H132" s="236"/>
      <c r="I132" s="236"/>
      <c r="J132" s="236"/>
      <c r="K132" s="70" t="s">
        <v>22</v>
      </c>
      <c r="L132" s="68"/>
      <c r="M132" s="231"/>
      <c r="N132" s="113" t="s">
        <v>19</v>
      </c>
      <c r="O132" s="58" t="s">
        <v>15</v>
      </c>
      <c r="P132" s="195" t="s">
        <v>19</v>
      </c>
      <c r="Q132" s="70" t="s">
        <v>21</v>
      </c>
      <c r="R132" s="236"/>
      <c r="S132" s="236"/>
      <c r="T132" s="236"/>
      <c r="U132" s="70" t="s">
        <v>22</v>
      </c>
      <c r="V132" s="68"/>
      <c r="W132" s="231"/>
      <c r="X132" s="113" t="s">
        <v>19</v>
      </c>
      <c r="Y132" s="58" t="s">
        <v>15</v>
      </c>
      <c r="Z132" s="195" t="s">
        <v>19</v>
      </c>
      <c r="AA132" s="70" t="s">
        <v>21</v>
      </c>
      <c r="AB132" s="236"/>
      <c r="AC132" s="236"/>
      <c r="AD132" s="236"/>
      <c r="AE132" s="70" t="s">
        <v>22</v>
      </c>
      <c r="AF132" s="68"/>
      <c r="AG132" s="231"/>
      <c r="AH132" s="113" t="s">
        <v>19</v>
      </c>
      <c r="AI132" s="58" t="s">
        <v>15</v>
      </c>
      <c r="AJ132" s="195" t="s">
        <v>19</v>
      </c>
      <c r="AK132" s="70" t="s">
        <v>21</v>
      </c>
      <c r="AL132" s="236"/>
      <c r="AM132" s="236"/>
      <c r="AN132" s="236"/>
      <c r="AO132" s="70" t="s">
        <v>22</v>
      </c>
      <c r="AP132" s="68"/>
    </row>
    <row r="133" spans="1:42" ht="28.5" customHeight="1" thickBot="1">
      <c r="B133" s="114" t="str">
        <f>VLOOKUP(B130,tablaequipo,7)</f>
        <v>CPCD 30</v>
      </c>
      <c r="C133" s="231"/>
      <c r="D133" s="113" t="s">
        <v>19</v>
      </c>
      <c r="E133" s="58" t="s">
        <v>15</v>
      </c>
      <c r="F133" s="195" t="s">
        <v>19</v>
      </c>
      <c r="G133" s="146" t="s">
        <v>23</v>
      </c>
      <c r="H133" s="234"/>
      <c r="I133" s="234"/>
      <c r="J133" s="234"/>
      <c r="K133" s="234"/>
      <c r="L133" s="235"/>
      <c r="M133" s="231"/>
      <c r="N133" s="113" t="s">
        <v>19</v>
      </c>
      <c r="O133" s="58" t="s">
        <v>15</v>
      </c>
      <c r="P133" s="195" t="s">
        <v>19</v>
      </c>
      <c r="Q133" s="146" t="s">
        <v>23</v>
      </c>
      <c r="R133" s="234"/>
      <c r="S133" s="234"/>
      <c r="T133" s="234"/>
      <c r="U133" s="234"/>
      <c r="V133" s="235"/>
      <c r="W133" s="231"/>
      <c r="X133" s="113" t="s">
        <v>19</v>
      </c>
      <c r="Y133" s="58" t="s">
        <v>15</v>
      </c>
      <c r="Z133" s="195" t="s">
        <v>19</v>
      </c>
      <c r="AA133" s="146" t="s">
        <v>23</v>
      </c>
      <c r="AB133" s="234"/>
      <c r="AC133" s="234"/>
      <c r="AD133" s="234"/>
      <c r="AE133" s="234"/>
      <c r="AF133" s="235"/>
      <c r="AG133" s="231"/>
      <c r="AH133" s="113" t="s">
        <v>19</v>
      </c>
      <c r="AI133" s="58" t="s">
        <v>15</v>
      </c>
      <c r="AJ133" s="195" t="s">
        <v>19</v>
      </c>
      <c r="AK133" s="146" t="s">
        <v>23</v>
      </c>
      <c r="AL133" s="234"/>
      <c r="AM133" s="234"/>
      <c r="AN133" s="234"/>
      <c r="AO133" s="234"/>
      <c r="AP133" s="235"/>
    </row>
    <row r="134" spans="1:42" ht="28.5" customHeight="1" thickBot="1">
      <c r="B134" s="114">
        <f>VLOOKUP(B130,tablaequipo,8)</f>
        <v>0</v>
      </c>
      <c r="C134" s="231"/>
      <c r="D134" s="113" t="s">
        <v>19</v>
      </c>
      <c r="E134" s="58" t="s">
        <v>15</v>
      </c>
      <c r="F134" s="177" t="s">
        <v>24</v>
      </c>
      <c r="G134" s="70" t="s">
        <v>21</v>
      </c>
      <c r="H134" s="236"/>
      <c r="I134" s="236"/>
      <c r="J134" s="236"/>
      <c r="K134" s="70" t="s">
        <v>22</v>
      </c>
      <c r="L134" s="68"/>
      <c r="M134" s="231"/>
      <c r="N134" s="113" t="s">
        <v>19</v>
      </c>
      <c r="O134" s="58" t="s">
        <v>15</v>
      </c>
      <c r="P134" s="177" t="s">
        <v>24</v>
      </c>
      <c r="Q134" s="70" t="s">
        <v>21</v>
      </c>
      <c r="R134" s="236"/>
      <c r="S134" s="236"/>
      <c r="T134" s="236"/>
      <c r="U134" s="70" t="s">
        <v>22</v>
      </c>
      <c r="V134" s="68"/>
      <c r="W134" s="231"/>
      <c r="X134" s="113" t="s">
        <v>19</v>
      </c>
      <c r="Y134" s="58" t="s">
        <v>15</v>
      </c>
      <c r="Z134" s="177" t="s">
        <v>24</v>
      </c>
      <c r="AA134" s="70" t="s">
        <v>21</v>
      </c>
      <c r="AB134" s="236"/>
      <c r="AC134" s="236"/>
      <c r="AD134" s="236"/>
      <c r="AE134" s="70" t="s">
        <v>22</v>
      </c>
      <c r="AF134" s="68"/>
      <c r="AG134" s="231"/>
      <c r="AH134" s="113" t="s">
        <v>19</v>
      </c>
      <c r="AI134" s="58" t="s">
        <v>15</v>
      </c>
      <c r="AJ134" s="177" t="s">
        <v>24</v>
      </c>
      <c r="AK134" s="70" t="s">
        <v>21</v>
      </c>
      <c r="AL134" s="236"/>
      <c r="AM134" s="236"/>
      <c r="AN134" s="236"/>
      <c r="AO134" s="70" t="s">
        <v>22</v>
      </c>
      <c r="AP134" s="68"/>
    </row>
    <row r="135" spans="1:42" ht="28.5" customHeight="1" thickBot="1">
      <c r="B135" s="121">
        <v>0</v>
      </c>
      <c r="C135" s="231"/>
      <c r="D135" s="113" t="s">
        <v>19</v>
      </c>
      <c r="E135" s="58" t="s">
        <v>15</v>
      </c>
      <c r="F135" s="196" t="s">
        <v>16</v>
      </c>
      <c r="G135" s="140" t="s">
        <v>25</v>
      </c>
      <c r="H135" s="237" t="s">
        <v>26</v>
      </c>
      <c r="I135" s="238"/>
      <c r="J135" s="140" t="s">
        <v>27</v>
      </c>
      <c r="K135" s="237" t="s">
        <v>28</v>
      </c>
      <c r="L135" s="239"/>
      <c r="M135" s="231"/>
      <c r="N135" s="113" t="s">
        <v>19</v>
      </c>
      <c r="O135" s="58" t="s">
        <v>15</v>
      </c>
      <c r="P135" s="196" t="s">
        <v>16</v>
      </c>
      <c r="Q135" s="140" t="s">
        <v>25</v>
      </c>
      <c r="R135" s="237" t="s">
        <v>26</v>
      </c>
      <c r="S135" s="238"/>
      <c r="T135" s="140" t="s">
        <v>27</v>
      </c>
      <c r="U135" s="237" t="s">
        <v>28</v>
      </c>
      <c r="V135" s="239"/>
      <c r="W135" s="231"/>
      <c r="X135" s="113" t="s">
        <v>19</v>
      </c>
      <c r="Y135" s="58" t="s">
        <v>15</v>
      </c>
      <c r="Z135" s="196" t="s">
        <v>16</v>
      </c>
      <c r="AA135" s="140" t="s">
        <v>25</v>
      </c>
      <c r="AB135" s="237" t="s">
        <v>26</v>
      </c>
      <c r="AC135" s="238"/>
      <c r="AD135" s="140" t="s">
        <v>27</v>
      </c>
      <c r="AE135" s="237" t="s">
        <v>28</v>
      </c>
      <c r="AF135" s="239"/>
      <c r="AG135" s="231"/>
      <c r="AH135" s="113" t="s">
        <v>19</v>
      </c>
      <c r="AI135" s="58" t="s">
        <v>15</v>
      </c>
      <c r="AJ135" s="196" t="s">
        <v>16</v>
      </c>
      <c r="AK135" s="140" t="s">
        <v>25</v>
      </c>
      <c r="AL135" s="237" t="s">
        <v>26</v>
      </c>
      <c r="AM135" s="238"/>
      <c r="AN135" s="140" t="s">
        <v>27</v>
      </c>
      <c r="AO135" s="237" t="s">
        <v>28</v>
      </c>
      <c r="AP135" s="239"/>
    </row>
    <row r="136" spans="1:42" ht="28.5" customHeight="1" thickBot="1">
      <c r="B136" s="122" t="str">
        <f>VLOOKUP(B135,tablapermiso,3)</f>
        <v>Seleccione Gestion</v>
      </c>
      <c r="C136" s="232"/>
      <c r="D136" s="113" t="s">
        <v>19</v>
      </c>
      <c r="E136" s="58" t="s">
        <v>15</v>
      </c>
      <c r="F136" s="196" t="s">
        <v>19</v>
      </c>
      <c r="G136" s="141">
        <v>0</v>
      </c>
      <c r="H136" s="240" t="str">
        <f>VLOOKUP(G136,tablaestado,3)</f>
        <v>Seleccione Estado</v>
      </c>
      <c r="I136" s="240"/>
      <c r="J136" s="240"/>
      <c r="K136" s="240"/>
      <c r="L136" s="241"/>
      <c r="M136" s="232"/>
      <c r="N136" s="113" t="s">
        <v>19</v>
      </c>
      <c r="O136" s="58" t="s">
        <v>15</v>
      </c>
      <c r="P136" s="196" t="s">
        <v>19</v>
      </c>
      <c r="Q136" s="141">
        <v>0</v>
      </c>
      <c r="R136" s="240" t="str">
        <f>VLOOKUP(Q136,tablaestado,3)</f>
        <v>Seleccione Estado</v>
      </c>
      <c r="S136" s="240"/>
      <c r="T136" s="240"/>
      <c r="U136" s="240"/>
      <c r="V136" s="241"/>
      <c r="W136" s="232"/>
      <c r="X136" s="113" t="s">
        <v>19</v>
      </c>
      <c r="Y136" s="58" t="s">
        <v>15</v>
      </c>
      <c r="Z136" s="196" t="s">
        <v>19</v>
      </c>
      <c r="AA136" s="141">
        <v>0</v>
      </c>
      <c r="AB136" s="240" t="str">
        <f>VLOOKUP(AA136,tablaestado,3)</f>
        <v>Seleccione Estado</v>
      </c>
      <c r="AC136" s="240"/>
      <c r="AD136" s="240"/>
      <c r="AE136" s="240"/>
      <c r="AF136" s="241"/>
      <c r="AG136" s="232"/>
      <c r="AH136" s="113" t="s">
        <v>19</v>
      </c>
      <c r="AI136" s="58" t="s">
        <v>15</v>
      </c>
      <c r="AJ136" s="196" t="s">
        <v>19</v>
      </c>
      <c r="AK136" s="141">
        <v>0</v>
      </c>
      <c r="AL136" s="240" t="str">
        <f>VLOOKUP(AK136,tablaestado,3)</f>
        <v>Seleccione Estado</v>
      </c>
      <c r="AM136" s="240"/>
      <c r="AN136" s="240"/>
      <c r="AO136" s="240"/>
      <c r="AP136" s="241"/>
    </row>
    <row r="137" spans="1:42" ht="28.5" customHeight="1" thickBot="1">
      <c r="B137" s="251" t="s">
        <v>1</v>
      </c>
      <c r="C137" s="222" t="s">
        <v>2</v>
      </c>
      <c r="D137" s="112" t="s">
        <v>3</v>
      </c>
      <c r="E137" s="224" t="s">
        <v>4</v>
      </c>
      <c r="F137" s="225"/>
      <c r="G137" s="226" t="s">
        <v>5</v>
      </c>
      <c r="H137" s="227"/>
      <c r="I137" s="227"/>
      <c r="J137" s="227"/>
      <c r="K137" s="227"/>
      <c r="L137" s="228"/>
      <c r="M137" s="222" t="s">
        <v>2</v>
      </c>
      <c r="N137" s="112" t="s">
        <v>3</v>
      </c>
      <c r="O137" s="224" t="s">
        <v>4</v>
      </c>
      <c r="P137" s="225"/>
      <c r="Q137" s="226" t="s">
        <v>6</v>
      </c>
      <c r="R137" s="227"/>
      <c r="S137" s="227"/>
      <c r="T137" s="227"/>
      <c r="U137" s="227"/>
      <c r="V137" s="228"/>
      <c r="W137" s="222" t="s">
        <v>2</v>
      </c>
      <c r="X137" s="112" t="s">
        <v>3</v>
      </c>
      <c r="Y137" s="224" t="s">
        <v>4</v>
      </c>
      <c r="Z137" s="225"/>
      <c r="AA137" s="226" t="s">
        <v>7</v>
      </c>
      <c r="AB137" s="227"/>
      <c r="AC137" s="227"/>
      <c r="AD137" s="227"/>
      <c r="AE137" s="227"/>
      <c r="AF137" s="228"/>
      <c r="AG137" s="222" t="s">
        <v>2</v>
      </c>
      <c r="AH137" s="112" t="s">
        <v>3</v>
      </c>
      <c r="AI137" s="224" t="s">
        <v>4</v>
      </c>
      <c r="AJ137" s="225"/>
      <c r="AK137" s="226" t="s">
        <v>8</v>
      </c>
      <c r="AL137" s="227"/>
      <c r="AM137" s="227"/>
      <c r="AN137" s="227"/>
      <c r="AO137" s="227"/>
      <c r="AP137" s="228"/>
    </row>
    <row r="138" spans="1:42" ht="28.5" customHeight="1" thickBot="1">
      <c r="B138" s="252"/>
      <c r="C138" s="223"/>
      <c r="D138" s="199" t="s">
        <v>9</v>
      </c>
      <c r="E138" s="199" t="s">
        <v>10</v>
      </c>
      <c r="F138" s="112" t="s">
        <v>9</v>
      </c>
      <c r="G138" s="229" t="s">
        <v>11</v>
      </c>
      <c r="H138" s="229"/>
      <c r="I138" s="71" t="s">
        <v>12</v>
      </c>
      <c r="J138" s="147">
        <v>0</v>
      </c>
      <c r="K138" s="71" t="s">
        <v>13</v>
      </c>
      <c r="L138" s="148">
        <v>0</v>
      </c>
      <c r="M138" s="223"/>
      <c r="N138" s="199" t="s">
        <v>9</v>
      </c>
      <c r="O138" s="199" t="s">
        <v>10</v>
      </c>
      <c r="P138" s="112" t="s">
        <v>9</v>
      </c>
      <c r="Q138" s="229" t="s">
        <v>11</v>
      </c>
      <c r="R138" s="229"/>
      <c r="S138" s="71" t="s">
        <v>12</v>
      </c>
      <c r="T138" s="147">
        <v>0</v>
      </c>
      <c r="U138" s="71" t="s">
        <v>13</v>
      </c>
      <c r="V138" s="148">
        <v>0</v>
      </c>
      <c r="W138" s="223"/>
      <c r="X138" s="199" t="s">
        <v>9</v>
      </c>
      <c r="Y138" s="199" t="s">
        <v>10</v>
      </c>
      <c r="Z138" s="112" t="s">
        <v>9</v>
      </c>
      <c r="AA138" s="229" t="s">
        <v>11</v>
      </c>
      <c r="AB138" s="229"/>
      <c r="AC138" s="71" t="s">
        <v>12</v>
      </c>
      <c r="AD138" s="147">
        <v>0</v>
      </c>
      <c r="AE138" s="71" t="s">
        <v>13</v>
      </c>
      <c r="AF138" s="148">
        <v>0</v>
      </c>
      <c r="AG138" s="223"/>
      <c r="AH138" s="199" t="s">
        <v>9</v>
      </c>
      <c r="AI138" s="199" t="s">
        <v>10</v>
      </c>
      <c r="AJ138" s="112" t="s">
        <v>9</v>
      </c>
      <c r="AK138" s="229" t="s">
        <v>11</v>
      </c>
      <c r="AL138" s="229"/>
      <c r="AM138" s="71" t="s">
        <v>12</v>
      </c>
      <c r="AN138" s="147">
        <v>0</v>
      </c>
      <c r="AO138" s="71" t="s">
        <v>13</v>
      </c>
      <c r="AP138" s="148">
        <v>0</v>
      </c>
    </row>
    <row r="139" spans="1:42" ht="28.5" customHeight="1">
      <c r="A139" s="132"/>
      <c r="B139" s="58" t="s">
        <v>50</v>
      </c>
      <c r="C139" s="230"/>
      <c r="D139" s="113"/>
      <c r="E139" s="58" t="s">
        <v>15</v>
      </c>
      <c r="F139" s="195" t="s">
        <v>16</v>
      </c>
      <c r="G139" s="69" t="s">
        <v>17</v>
      </c>
      <c r="H139" s="233"/>
      <c r="I139" s="233"/>
      <c r="J139" s="233"/>
      <c r="K139" s="69" t="s">
        <v>18</v>
      </c>
      <c r="L139" s="72"/>
      <c r="M139" s="230"/>
      <c r="N139" s="113" t="s">
        <v>16</v>
      </c>
      <c r="O139" s="58" t="s">
        <v>15</v>
      </c>
      <c r="P139" s="195" t="s">
        <v>16</v>
      </c>
      <c r="Q139" s="69" t="s">
        <v>17</v>
      </c>
      <c r="R139" s="233"/>
      <c r="S139" s="233"/>
      <c r="T139" s="233"/>
      <c r="U139" s="69" t="s">
        <v>18</v>
      </c>
      <c r="V139" s="72"/>
      <c r="W139" s="230"/>
      <c r="X139" s="113" t="s">
        <v>16</v>
      </c>
      <c r="Y139" s="58" t="s">
        <v>15</v>
      </c>
      <c r="Z139" s="195" t="s">
        <v>16</v>
      </c>
      <c r="AA139" s="69" t="s">
        <v>17</v>
      </c>
      <c r="AB139" s="233"/>
      <c r="AC139" s="233"/>
      <c r="AD139" s="233"/>
      <c r="AE139" s="69" t="s">
        <v>18</v>
      </c>
      <c r="AF139" s="72"/>
      <c r="AG139" s="230"/>
      <c r="AH139" s="113" t="s">
        <v>16</v>
      </c>
      <c r="AI139" s="58" t="s">
        <v>15</v>
      </c>
      <c r="AJ139" s="195" t="s">
        <v>16</v>
      </c>
      <c r="AK139" s="69" t="s">
        <v>17</v>
      </c>
      <c r="AL139" s="233"/>
      <c r="AM139" s="233"/>
      <c r="AN139" s="233"/>
      <c r="AO139" s="69" t="s">
        <v>18</v>
      </c>
      <c r="AP139" s="72"/>
    </row>
    <row r="140" spans="1:42" ht="28.5" customHeight="1">
      <c r="B140" s="114" t="str">
        <f>VLOOKUP(B139,tablaequipo,4)</f>
        <v>Autoelevador</v>
      </c>
      <c r="C140" s="231"/>
      <c r="D140" s="113"/>
      <c r="E140" s="58" t="s">
        <v>15</v>
      </c>
      <c r="F140" s="195" t="s">
        <v>19</v>
      </c>
      <c r="G140" s="146" t="s">
        <v>20</v>
      </c>
      <c r="H140" s="234"/>
      <c r="I140" s="234"/>
      <c r="J140" s="234"/>
      <c r="K140" s="234"/>
      <c r="L140" s="235"/>
      <c r="M140" s="231"/>
      <c r="N140" s="113" t="s">
        <v>19</v>
      </c>
      <c r="O140" s="58" t="s">
        <v>15</v>
      </c>
      <c r="P140" s="195" t="s">
        <v>19</v>
      </c>
      <c r="Q140" s="146" t="s">
        <v>20</v>
      </c>
      <c r="R140" s="234"/>
      <c r="S140" s="234"/>
      <c r="T140" s="234"/>
      <c r="U140" s="234"/>
      <c r="V140" s="235"/>
      <c r="W140" s="231"/>
      <c r="X140" s="113" t="s">
        <v>19</v>
      </c>
      <c r="Y140" s="58" t="s">
        <v>15</v>
      </c>
      <c r="Z140" s="195" t="s">
        <v>19</v>
      </c>
      <c r="AA140" s="146" t="s">
        <v>20</v>
      </c>
      <c r="AB140" s="234"/>
      <c r="AC140" s="234"/>
      <c r="AD140" s="234"/>
      <c r="AE140" s="234"/>
      <c r="AF140" s="235"/>
      <c r="AG140" s="231"/>
      <c r="AH140" s="113" t="s">
        <v>19</v>
      </c>
      <c r="AI140" s="58" t="s">
        <v>15</v>
      </c>
      <c r="AJ140" s="195" t="s">
        <v>19</v>
      </c>
      <c r="AK140" s="146" t="s">
        <v>20</v>
      </c>
      <c r="AL140" s="234"/>
      <c r="AM140" s="234"/>
      <c r="AN140" s="234"/>
      <c r="AO140" s="234"/>
      <c r="AP140" s="235"/>
    </row>
    <row r="141" spans="1:42" ht="28.5" customHeight="1">
      <c r="B141" s="114" t="str">
        <f>VLOOKUP(B139,tablaequipo,6)</f>
        <v>SINOBANG</v>
      </c>
      <c r="C141" s="231"/>
      <c r="D141" s="113"/>
      <c r="E141" s="58" t="s">
        <v>15</v>
      </c>
      <c r="F141" s="195" t="s">
        <v>19</v>
      </c>
      <c r="G141" s="70" t="s">
        <v>21</v>
      </c>
      <c r="H141" s="236"/>
      <c r="I141" s="236"/>
      <c r="J141" s="236"/>
      <c r="K141" s="70" t="s">
        <v>22</v>
      </c>
      <c r="L141" s="68"/>
      <c r="M141" s="231"/>
      <c r="N141" s="113" t="s">
        <v>19</v>
      </c>
      <c r="O141" s="58" t="s">
        <v>15</v>
      </c>
      <c r="P141" s="195" t="s">
        <v>19</v>
      </c>
      <c r="Q141" s="70" t="s">
        <v>21</v>
      </c>
      <c r="R141" s="236"/>
      <c r="S141" s="236"/>
      <c r="T141" s="236"/>
      <c r="U141" s="70" t="s">
        <v>22</v>
      </c>
      <c r="V141" s="68"/>
      <c r="W141" s="231"/>
      <c r="X141" s="113" t="s">
        <v>19</v>
      </c>
      <c r="Y141" s="58" t="s">
        <v>15</v>
      </c>
      <c r="Z141" s="195" t="s">
        <v>19</v>
      </c>
      <c r="AA141" s="70" t="s">
        <v>21</v>
      </c>
      <c r="AB141" s="236"/>
      <c r="AC141" s="236"/>
      <c r="AD141" s="236"/>
      <c r="AE141" s="70" t="s">
        <v>22</v>
      </c>
      <c r="AF141" s="68"/>
      <c r="AG141" s="231"/>
      <c r="AH141" s="113" t="s">
        <v>19</v>
      </c>
      <c r="AI141" s="58" t="s">
        <v>15</v>
      </c>
      <c r="AJ141" s="195" t="s">
        <v>19</v>
      </c>
      <c r="AK141" s="70" t="s">
        <v>21</v>
      </c>
      <c r="AL141" s="236"/>
      <c r="AM141" s="236"/>
      <c r="AN141" s="236"/>
      <c r="AO141" s="70" t="s">
        <v>22</v>
      </c>
      <c r="AP141" s="68"/>
    </row>
    <row r="142" spans="1:42" ht="28.5" customHeight="1" thickBot="1">
      <c r="B142" s="114" t="str">
        <f>VLOOKUP(B139,tablaequipo,7)</f>
        <v>CPCD 100</v>
      </c>
      <c r="C142" s="231"/>
      <c r="D142" s="113"/>
      <c r="E142" s="58" t="s">
        <v>15</v>
      </c>
      <c r="F142" s="195" t="s">
        <v>19</v>
      </c>
      <c r="G142" s="146" t="s">
        <v>23</v>
      </c>
      <c r="H142" s="234"/>
      <c r="I142" s="234"/>
      <c r="J142" s="234"/>
      <c r="K142" s="234"/>
      <c r="L142" s="235"/>
      <c r="M142" s="231"/>
      <c r="N142" s="113" t="s">
        <v>19</v>
      </c>
      <c r="O142" s="58" t="s">
        <v>15</v>
      </c>
      <c r="P142" s="195" t="s">
        <v>19</v>
      </c>
      <c r="Q142" s="146" t="s">
        <v>23</v>
      </c>
      <c r="R142" s="234"/>
      <c r="S142" s="234"/>
      <c r="T142" s="234"/>
      <c r="U142" s="234"/>
      <c r="V142" s="235"/>
      <c r="W142" s="231"/>
      <c r="X142" s="113" t="s">
        <v>19</v>
      </c>
      <c r="Y142" s="58" t="s">
        <v>15</v>
      </c>
      <c r="Z142" s="195" t="s">
        <v>19</v>
      </c>
      <c r="AA142" s="146" t="s">
        <v>23</v>
      </c>
      <c r="AB142" s="234"/>
      <c r="AC142" s="234"/>
      <c r="AD142" s="234"/>
      <c r="AE142" s="234"/>
      <c r="AF142" s="235"/>
      <c r="AG142" s="231"/>
      <c r="AH142" s="113" t="s">
        <v>19</v>
      </c>
      <c r="AI142" s="58" t="s">
        <v>15</v>
      </c>
      <c r="AJ142" s="195" t="s">
        <v>19</v>
      </c>
      <c r="AK142" s="146" t="s">
        <v>23</v>
      </c>
      <c r="AL142" s="234"/>
      <c r="AM142" s="234"/>
      <c r="AN142" s="234"/>
      <c r="AO142" s="234"/>
      <c r="AP142" s="235"/>
    </row>
    <row r="143" spans="1:42" ht="28.5" customHeight="1" thickBot="1">
      <c r="B143" s="114">
        <f>VLOOKUP(B139,tablaequipo,8)</f>
        <v>0</v>
      </c>
      <c r="C143" s="231"/>
      <c r="D143" s="113"/>
      <c r="E143" s="58" t="s">
        <v>15</v>
      </c>
      <c r="F143" s="177" t="s">
        <v>24</v>
      </c>
      <c r="G143" s="70" t="s">
        <v>21</v>
      </c>
      <c r="H143" s="236"/>
      <c r="I143" s="236"/>
      <c r="J143" s="236"/>
      <c r="K143" s="70" t="s">
        <v>22</v>
      </c>
      <c r="L143" s="68"/>
      <c r="M143" s="231"/>
      <c r="N143" s="113" t="s">
        <v>19</v>
      </c>
      <c r="O143" s="58" t="s">
        <v>15</v>
      </c>
      <c r="P143" s="177" t="s">
        <v>24</v>
      </c>
      <c r="Q143" s="70" t="s">
        <v>21</v>
      </c>
      <c r="R143" s="236"/>
      <c r="S143" s="236"/>
      <c r="T143" s="236"/>
      <c r="U143" s="70" t="s">
        <v>22</v>
      </c>
      <c r="V143" s="68"/>
      <c r="W143" s="231"/>
      <c r="X143" s="113" t="s">
        <v>19</v>
      </c>
      <c r="Y143" s="58" t="s">
        <v>15</v>
      </c>
      <c r="Z143" s="177" t="s">
        <v>24</v>
      </c>
      <c r="AA143" s="70" t="s">
        <v>21</v>
      </c>
      <c r="AB143" s="236"/>
      <c r="AC143" s="236"/>
      <c r="AD143" s="236"/>
      <c r="AE143" s="70" t="s">
        <v>22</v>
      </c>
      <c r="AF143" s="68"/>
      <c r="AG143" s="231"/>
      <c r="AH143" s="113" t="s">
        <v>19</v>
      </c>
      <c r="AI143" s="58" t="s">
        <v>15</v>
      </c>
      <c r="AJ143" s="177" t="s">
        <v>24</v>
      </c>
      <c r="AK143" s="70" t="s">
        <v>21</v>
      </c>
      <c r="AL143" s="236"/>
      <c r="AM143" s="236"/>
      <c r="AN143" s="236"/>
      <c r="AO143" s="70" t="s">
        <v>22</v>
      </c>
      <c r="AP143" s="68"/>
    </row>
    <row r="144" spans="1:42" ht="28.5" customHeight="1" thickBot="1">
      <c r="B144" s="121">
        <v>0</v>
      </c>
      <c r="C144" s="231"/>
      <c r="D144" s="113"/>
      <c r="E144" s="58" t="s">
        <v>15</v>
      </c>
      <c r="F144" s="196" t="s">
        <v>16</v>
      </c>
      <c r="G144" s="140" t="s">
        <v>25</v>
      </c>
      <c r="H144" s="237" t="s">
        <v>26</v>
      </c>
      <c r="I144" s="238"/>
      <c r="J144" s="140" t="s">
        <v>27</v>
      </c>
      <c r="K144" s="237" t="s">
        <v>28</v>
      </c>
      <c r="L144" s="239"/>
      <c r="M144" s="231"/>
      <c r="N144" s="113" t="s">
        <v>19</v>
      </c>
      <c r="O144" s="58" t="s">
        <v>15</v>
      </c>
      <c r="P144" s="196" t="s">
        <v>16</v>
      </c>
      <c r="Q144" s="140" t="s">
        <v>25</v>
      </c>
      <c r="R144" s="237" t="s">
        <v>26</v>
      </c>
      <c r="S144" s="238"/>
      <c r="T144" s="140" t="s">
        <v>27</v>
      </c>
      <c r="U144" s="237" t="s">
        <v>28</v>
      </c>
      <c r="V144" s="239"/>
      <c r="W144" s="231"/>
      <c r="X144" s="113" t="s">
        <v>19</v>
      </c>
      <c r="Y144" s="58" t="s">
        <v>15</v>
      </c>
      <c r="Z144" s="196" t="s">
        <v>16</v>
      </c>
      <c r="AA144" s="140" t="s">
        <v>25</v>
      </c>
      <c r="AB144" s="237" t="s">
        <v>26</v>
      </c>
      <c r="AC144" s="238"/>
      <c r="AD144" s="140" t="s">
        <v>27</v>
      </c>
      <c r="AE144" s="237" t="s">
        <v>28</v>
      </c>
      <c r="AF144" s="239"/>
      <c r="AG144" s="231"/>
      <c r="AH144" s="113" t="s">
        <v>19</v>
      </c>
      <c r="AI144" s="58" t="s">
        <v>15</v>
      </c>
      <c r="AJ144" s="196" t="s">
        <v>16</v>
      </c>
      <c r="AK144" s="140" t="s">
        <v>25</v>
      </c>
      <c r="AL144" s="237" t="s">
        <v>26</v>
      </c>
      <c r="AM144" s="238"/>
      <c r="AN144" s="140" t="s">
        <v>27</v>
      </c>
      <c r="AO144" s="237" t="s">
        <v>28</v>
      </c>
      <c r="AP144" s="239"/>
    </row>
    <row r="145" spans="1:42" ht="28.5" customHeight="1" thickBot="1">
      <c r="B145" s="122" t="str">
        <f>VLOOKUP(B144,tablapermiso,3)</f>
        <v>Seleccione Gestion</v>
      </c>
      <c r="C145" s="232"/>
      <c r="D145" s="113"/>
      <c r="E145" s="58" t="s">
        <v>15</v>
      </c>
      <c r="F145" s="196" t="s">
        <v>19</v>
      </c>
      <c r="G145" s="141">
        <v>0</v>
      </c>
      <c r="H145" s="240" t="str">
        <f>VLOOKUP(G145,tablaestado,3)</f>
        <v>Seleccione Estado</v>
      </c>
      <c r="I145" s="240"/>
      <c r="J145" s="240"/>
      <c r="K145" s="240"/>
      <c r="L145" s="241"/>
      <c r="M145" s="232"/>
      <c r="N145" s="113" t="s">
        <v>19</v>
      </c>
      <c r="O145" s="58" t="s">
        <v>15</v>
      </c>
      <c r="P145" s="196" t="s">
        <v>19</v>
      </c>
      <c r="Q145" s="141">
        <v>0</v>
      </c>
      <c r="R145" s="240" t="str">
        <f>VLOOKUP(Q145,tablaestado,3)</f>
        <v>Seleccione Estado</v>
      </c>
      <c r="S145" s="240"/>
      <c r="T145" s="240"/>
      <c r="U145" s="240"/>
      <c r="V145" s="241"/>
      <c r="W145" s="232"/>
      <c r="X145" s="113" t="s">
        <v>19</v>
      </c>
      <c r="Y145" s="58" t="s">
        <v>15</v>
      </c>
      <c r="Z145" s="196" t="s">
        <v>19</v>
      </c>
      <c r="AA145" s="141">
        <v>0</v>
      </c>
      <c r="AB145" s="240" t="str">
        <f>VLOOKUP(AA145,tablaestado,3)</f>
        <v>Seleccione Estado</v>
      </c>
      <c r="AC145" s="240"/>
      <c r="AD145" s="240"/>
      <c r="AE145" s="240"/>
      <c r="AF145" s="241"/>
      <c r="AG145" s="232"/>
      <c r="AH145" s="113" t="s">
        <v>19</v>
      </c>
      <c r="AI145" s="58" t="s">
        <v>15</v>
      </c>
      <c r="AJ145" s="196" t="s">
        <v>19</v>
      </c>
      <c r="AK145" s="141">
        <v>0</v>
      </c>
      <c r="AL145" s="240" t="str">
        <f>VLOOKUP(AK145,tablaestado,3)</f>
        <v>Seleccione Estado</v>
      </c>
      <c r="AM145" s="240"/>
      <c r="AN145" s="240"/>
      <c r="AO145" s="240"/>
      <c r="AP145" s="241"/>
    </row>
    <row r="146" spans="1:42" ht="28.5" customHeight="1" thickBot="1">
      <c r="B146" s="251" t="s">
        <v>1</v>
      </c>
      <c r="C146" s="222" t="s">
        <v>2</v>
      </c>
      <c r="D146" s="112" t="s">
        <v>3</v>
      </c>
      <c r="E146" s="224" t="s">
        <v>4</v>
      </c>
      <c r="F146" s="225"/>
      <c r="G146" s="226" t="s">
        <v>5</v>
      </c>
      <c r="H146" s="227"/>
      <c r="I146" s="227"/>
      <c r="J146" s="227"/>
      <c r="K146" s="227"/>
      <c r="L146" s="228"/>
      <c r="M146" s="222" t="s">
        <v>2</v>
      </c>
      <c r="N146" s="112" t="s">
        <v>3</v>
      </c>
      <c r="O146" s="224" t="s">
        <v>4</v>
      </c>
      <c r="P146" s="225"/>
      <c r="Q146" s="226" t="s">
        <v>6</v>
      </c>
      <c r="R146" s="227"/>
      <c r="S146" s="227"/>
      <c r="T146" s="227"/>
      <c r="U146" s="227"/>
      <c r="V146" s="228"/>
      <c r="W146" s="222" t="s">
        <v>2</v>
      </c>
      <c r="X146" s="112" t="s">
        <v>3</v>
      </c>
      <c r="Y146" s="224" t="s">
        <v>4</v>
      </c>
      <c r="Z146" s="225"/>
      <c r="AA146" s="226" t="s">
        <v>7</v>
      </c>
      <c r="AB146" s="227"/>
      <c r="AC146" s="227"/>
      <c r="AD146" s="227"/>
      <c r="AE146" s="227"/>
      <c r="AF146" s="228"/>
      <c r="AG146" s="222" t="s">
        <v>2</v>
      </c>
      <c r="AH146" s="112" t="s">
        <v>3</v>
      </c>
      <c r="AI146" s="224" t="s">
        <v>4</v>
      </c>
      <c r="AJ146" s="225"/>
      <c r="AK146" s="226" t="s">
        <v>8</v>
      </c>
      <c r="AL146" s="227"/>
      <c r="AM146" s="227"/>
      <c r="AN146" s="227"/>
      <c r="AO146" s="227"/>
      <c r="AP146" s="228"/>
    </row>
    <row r="147" spans="1:42" ht="28.5" customHeight="1" thickBot="1">
      <c r="B147" s="252"/>
      <c r="C147" s="223"/>
      <c r="D147" s="199" t="s">
        <v>9</v>
      </c>
      <c r="E147" s="199" t="s">
        <v>10</v>
      </c>
      <c r="F147" s="112" t="s">
        <v>9</v>
      </c>
      <c r="G147" s="253" t="s">
        <v>11</v>
      </c>
      <c r="H147" s="254"/>
      <c r="I147" s="71" t="s">
        <v>12</v>
      </c>
      <c r="J147" s="147">
        <v>0</v>
      </c>
      <c r="K147" s="71" t="s">
        <v>13</v>
      </c>
      <c r="L147" s="148">
        <v>0</v>
      </c>
      <c r="M147" s="223"/>
      <c r="N147" s="199" t="s">
        <v>9</v>
      </c>
      <c r="O147" s="199" t="s">
        <v>10</v>
      </c>
      <c r="P147" s="112" t="s">
        <v>9</v>
      </c>
      <c r="Q147" s="229" t="s">
        <v>11</v>
      </c>
      <c r="R147" s="229"/>
      <c r="S147" s="71" t="s">
        <v>12</v>
      </c>
      <c r="T147" s="147">
        <v>0</v>
      </c>
      <c r="U147" s="71" t="s">
        <v>13</v>
      </c>
      <c r="V147" s="148">
        <v>0</v>
      </c>
      <c r="W147" s="223"/>
      <c r="X147" s="199" t="s">
        <v>9</v>
      </c>
      <c r="Y147" s="199" t="s">
        <v>10</v>
      </c>
      <c r="Z147" s="112" t="s">
        <v>9</v>
      </c>
      <c r="AA147" s="229" t="s">
        <v>11</v>
      </c>
      <c r="AB147" s="229"/>
      <c r="AC147" s="71" t="s">
        <v>12</v>
      </c>
      <c r="AD147" s="147">
        <v>0</v>
      </c>
      <c r="AE147" s="71" t="s">
        <v>13</v>
      </c>
      <c r="AF147" s="148">
        <v>0</v>
      </c>
      <c r="AG147" s="223"/>
      <c r="AH147" s="199" t="s">
        <v>9</v>
      </c>
      <c r="AI147" s="199" t="s">
        <v>10</v>
      </c>
      <c r="AJ147" s="112" t="s">
        <v>9</v>
      </c>
      <c r="AK147" s="229" t="s">
        <v>11</v>
      </c>
      <c r="AL147" s="229"/>
      <c r="AM147" s="71" t="s">
        <v>12</v>
      </c>
      <c r="AN147" s="147">
        <v>0</v>
      </c>
      <c r="AO147" s="71" t="s">
        <v>13</v>
      </c>
      <c r="AP147" s="148">
        <v>0</v>
      </c>
    </row>
    <row r="148" spans="1:42" ht="28.5" customHeight="1">
      <c r="A148" s="132"/>
      <c r="B148" s="58" t="s">
        <v>51</v>
      </c>
      <c r="C148" s="230"/>
      <c r="D148" s="113" t="s">
        <v>16</v>
      </c>
      <c r="E148" s="58" t="s">
        <v>15</v>
      </c>
      <c r="F148" s="195" t="s">
        <v>16</v>
      </c>
      <c r="G148" s="69" t="s">
        <v>17</v>
      </c>
      <c r="H148" s="233"/>
      <c r="I148" s="233"/>
      <c r="J148" s="233"/>
      <c r="K148" s="69" t="s">
        <v>18</v>
      </c>
      <c r="L148" s="72"/>
      <c r="M148" s="230"/>
      <c r="N148" s="113" t="s">
        <v>16</v>
      </c>
      <c r="O148" s="58" t="s">
        <v>15</v>
      </c>
      <c r="P148" s="195" t="s">
        <v>16</v>
      </c>
      <c r="Q148" s="69" t="s">
        <v>17</v>
      </c>
      <c r="R148" s="233"/>
      <c r="S148" s="233"/>
      <c r="T148" s="233"/>
      <c r="U148" s="69" t="s">
        <v>18</v>
      </c>
      <c r="V148" s="72"/>
      <c r="W148" s="230"/>
      <c r="X148" s="113" t="s">
        <v>16</v>
      </c>
      <c r="Y148" s="58" t="s">
        <v>15</v>
      </c>
      <c r="Z148" s="195" t="s">
        <v>16</v>
      </c>
      <c r="AA148" s="69" t="s">
        <v>17</v>
      </c>
      <c r="AB148" s="233"/>
      <c r="AC148" s="233"/>
      <c r="AD148" s="233"/>
      <c r="AE148" s="69" t="s">
        <v>18</v>
      </c>
      <c r="AF148" s="72"/>
      <c r="AG148" s="230"/>
      <c r="AH148" s="113" t="s">
        <v>16</v>
      </c>
      <c r="AI148" s="58" t="s">
        <v>15</v>
      </c>
      <c r="AJ148" s="195" t="s">
        <v>16</v>
      </c>
      <c r="AK148" s="69" t="s">
        <v>17</v>
      </c>
      <c r="AL148" s="233"/>
      <c r="AM148" s="233"/>
      <c r="AN148" s="233"/>
      <c r="AO148" s="69" t="s">
        <v>18</v>
      </c>
      <c r="AP148" s="72"/>
    </row>
    <row r="149" spans="1:42" ht="28.5" customHeight="1">
      <c r="B149" s="114" t="str">
        <f>VLOOKUP(B148,tablaequipo,4)</f>
        <v>Manipulador</v>
      </c>
      <c r="C149" s="231"/>
      <c r="D149" s="113" t="s">
        <v>19</v>
      </c>
      <c r="E149" s="58" t="s">
        <v>15</v>
      </c>
      <c r="F149" s="195" t="s">
        <v>19</v>
      </c>
      <c r="G149" s="146" t="s">
        <v>20</v>
      </c>
      <c r="H149" s="234"/>
      <c r="I149" s="234"/>
      <c r="J149" s="234"/>
      <c r="K149" s="234"/>
      <c r="L149" s="235"/>
      <c r="M149" s="231"/>
      <c r="N149" s="113" t="s">
        <v>19</v>
      </c>
      <c r="O149" s="58" t="s">
        <v>15</v>
      </c>
      <c r="P149" s="195" t="s">
        <v>19</v>
      </c>
      <c r="Q149" s="146" t="s">
        <v>20</v>
      </c>
      <c r="R149" s="234"/>
      <c r="S149" s="234"/>
      <c r="T149" s="234"/>
      <c r="U149" s="234"/>
      <c r="V149" s="235"/>
      <c r="W149" s="231"/>
      <c r="X149" s="113" t="s">
        <v>19</v>
      </c>
      <c r="Y149" s="58" t="s">
        <v>15</v>
      </c>
      <c r="Z149" s="195" t="s">
        <v>19</v>
      </c>
      <c r="AA149" s="146" t="s">
        <v>20</v>
      </c>
      <c r="AB149" s="234"/>
      <c r="AC149" s="234"/>
      <c r="AD149" s="234"/>
      <c r="AE149" s="234"/>
      <c r="AF149" s="235"/>
      <c r="AG149" s="231"/>
      <c r="AH149" s="113" t="s">
        <v>19</v>
      </c>
      <c r="AI149" s="58" t="s">
        <v>15</v>
      </c>
      <c r="AJ149" s="195" t="s">
        <v>19</v>
      </c>
      <c r="AK149" s="146" t="s">
        <v>20</v>
      </c>
      <c r="AL149" s="234"/>
      <c r="AM149" s="234"/>
      <c r="AN149" s="234"/>
      <c r="AO149" s="234"/>
      <c r="AP149" s="235"/>
    </row>
    <row r="150" spans="1:42" ht="28.5" customHeight="1">
      <c r="B150" s="114" t="str">
        <f>VLOOKUP(B148,tablaequipo,6)</f>
        <v>Haulote</v>
      </c>
      <c r="C150" s="231"/>
      <c r="D150" s="113" t="s">
        <v>19</v>
      </c>
      <c r="E150" s="58" t="s">
        <v>15</v>
      </c>
      <c r="F150" s="195" t="s">
        <v>19</v>
      </c>
      <c r="G150" s="70" t="s">
        <v>21</v>
      </c>
      <c r="H150" s="236"/>
      <c r="I150" s="236"/>
      <c r="J150" s="236"/>
      <c r="K150" s="70" t="s">
        <v>22</v>
      </c>
      <c r="L150" s="68"/>
      <c r="M150" s="231"/>
      <c r="N150" s="113" t="s">
        <v>19</v>
      </c>
      <c r="O150" s="58" t="s">
        <v>15</v>
      </c>
      <c r="P150" s="195" t="s">
        <v>19</v>
      </c>
      <c r="Q150" s="70" t="s">
        <v>21</v>
      </c>
      <c r="R150" s="236"/>
      <c r="S150" s="236"/>
      <c r="T150" s="236"/>
      <c r="U150" s="70" t="s">
        <v>22</v>
      </c>
      <c r="V150" s="68"/>
      <c r="W150" s="231"/>
      <c r="X150" s="113" t="s">
        <v>19</v>
      </c>
      <c r="Y150" s="58" t="s">
        <v>15</v>
      </c>
      <c r="Z150" s="195" t="s">
        <v>19</v>
      </c>
      <c r="AA150" s="70" t="s">
        <v>21</v>
      </c>
      <c r="AB150" s="236"/>
      <c r="AC150" s="236"/>
      <c r="AD150" s="236"/>
      <c r="AE150" s="70" t="s">
        <v>22</v>
      </c>
      <c r="AF150" s="68"/>
      <c r="AG150" s="231"/>
      <c r="AH150" s="113" t="s">
        <v>19</v>
      </c>
      <c r="AI150" s="58" t="s">
        <v>15</v>
      </c>
      <c r="AJ150" s="195" t="s">
        <v>19</v>
      </c>
      <c r="AK150" s="70" t="s">
        <v>21</v>
      </c>
      <c r="AL150" s="236"/>
      <c r="AM150" s="236"/>
      <c r="AN150" s="236"/>
      <c r="AO150" s="70" t="s">
        <v>22</v>
      </c>
      <c r="AP150" s="68"/>
    </row>
    <row r="151" spans="1:42" ht="28.5" customHeight="1" thickBot="1">
      <c r="B151" s="114" t="str">
        <f>VLOOKUP(B148,tablaequipo,7)</f>
        <v>Hlt4014</v>
      </c>
      <c r="C151" s="231"/>
      <c r="D151" s="113" t="s">
        <v>19</v>
      </c>
      <c r="E151" s="58" t="s">
        <v>15</v>
      </c>
      <c r="F151" s="195" t="s">
        <v>19</v>
      </c>
      <c r="G151" s="146" t="s">
        <v>23</v>
      </c>
      <c r="H151" s="234"/>
      <c r="I151" s="234"/>
      <c r="J151" s="234"/>
      <c r="K151" s="234"/>
      <c r="L151" s="235"/>
      <c r="M151" s="231"/>
      <c r="N151" s="113" t="s">
        <v>19</v>
      </c>
      <c r="O151" s="58" t="s">
        <v>15</v>
      </c>
      <c r="P151" s="195" t="s">
        <v>19</v>
      </c>
      <c r="Q151" s="146" t="s">
        <v>23</v>
      </c>
      <c r="R151" s="234"/>
      <c r="S151" s="234"/>
      <c r="T151" s="234"/>
      <c r="U151" s="234"/>
      <c r="V151" s="235"/>
      <c r="W151" s="231"/>
      <c r="X151" s="113" t="s">
        <v>19</v>
      </c>
      <c r="Y151" s="58" t="s">
        <v>15</v>
      </c>
      <c r="Z151" s="195" t="s">
        <v>19</v>
      </c>
      <c r="AA151" s="146" t="s">
        <v>23</v>
      </c>
      <c r="AB151" s="234"/>
      <c r="AC151" s="234"/>
      <c r="AD151" s="234"/>
      <c r="AE151" s="234"/>
      <c r="AF151" s="235"/>
      <c r="AG151" s="231"/>
      <c r="AH151" s="113" t="s">
        <v>19</v>
      </c>
      <c r="AI151" s="58" t="s">
        <v>15</v>
      </c>
      <c r="AJ151" s="195" t="s">
        <v>19</v>
      </c>
      <c r="AK151" s="146" t="s">
        <v>23</v>
      </c>
      <c r="AL151" s="234"/>
      <c r="AM151" s="234"/>
      <c r="AN151" s="234"/>
      <c r="AO151" s="234"/>
      <c r="AP151" s="235"/>
    </row>
    <row r="152" spans="1:42" ht="28.5" customHeight="1" thickBot="1">
      <c r="B152" s="114">
        <f>VLOOKUP(B148,tablaequipo,8)</f>
        <v>0</v>
      </c>
      <c r="C152" s="231"/>
      <c r="D152" s="113" t="s">
        <v>19</v>
      </c>
      <c r="E152" s="58" t="s">
        <v>15</v>
      </c>
      <c r="F152" s="177" t="s">
        <v>24</v>
      </c>
      <c r="G152" s="70" t="s">
        <v>21</v>
      </c>
      <c r="H152" s="236"/>
      <c r="I152" s="236"/>
      <c r="J152" s="236"/>
      <c r="K152" s="70" t="s">
        <v>22</v>
      </c>
      <c r="L152" s="68"/>
      <c r="M152" s="231"/>
      <c r="N152" s="113" t="s">
        <v>19</v>
      </c>
      <c r="O152" s="58" t="s">
        <v>15</v>
      </c>
      <c r="P152" s="177" t="s">
        <v>24</v>
      </c>
      <c r="Q152" s="70" t="s">
        <v>21</v>
      </c>
      <c r="R152" s="236"/>
      <c r="S152" s="236"/>
      <c r="T152" s="236"/>
      <c r="U152" s="70" t="s">
        <v>22</v>
      </c>
      <c r="V152" s="68"/>
      <c r="W152" s="231"/>
      <c r="X152" s="113" t="s">
        <v>19</v>
      </c>
      <c r="Y152" s="58" t="s">
        <v>15</v>
      </c>
      <c r="Z152" s="177" t="s">
        <v>24</v>
      </c>
      <c r="AA152" s="70" t="s">
        <v>21</v>
      </c>
      <c r="AB152" s="236"/>
      <c r="AC152" s="236"/>
      <c r="AD152" s="236"/>
      <c r="AE152" s="70" t="s">
        <v>22</v>
      </c>
      <c r="AF152" s="68"/>
      <c r="AG152" s="231"/>
      <c r="AH152" s="113" t="s">
        <v>19</v>
      </c>
      <c r="AI152" s="58" t="s">
        <v>15</v>
      </c>
      <c r="AJ152" s="177" t="s">
        <v>24</v>
      </c>
      <c r="AK152" s="70" t="s">
        <v>21</v>
      </c>
      <c r="AL152" s="236"/>
      <c r="AM152" s="236"/>
      <c r="AN152" s="236"/>
      <c r="AO152" s="70" t="s">
        <v>22</v>
      </c>
      <c r="AP152" s="68"/>
    </row>
    <row r="153" spans="1:42" ht="28.5" customHeight="1" thickBot="1">
      <c r="B153" s="121">
        <v>0</v>
      </c>
      <c r="C153" s="231"/>
      <c r="D153" s="113" t="s">
        <v>19</v>
      </c>
      <c r="E153" s="58" t="s">
        <v>15</v>
      </c>
      <c r="F153" s="196" t="s">
        <v>16</v>
      </c>
      <c r="G153" s="140" t="s">
        <v>25</v>
      </c>
      <c r="H153" s="237" t="s">
        <v>26</v>
      </c>
      <c r="I153" s="238"/>
      <c r="J153" s="140" t="s">
        <v>27</v>
      </c>
      <c r="K153" s="237" t="s">
        <v>28</v>
      </c>
      <c r="L153" s="239"/>
      <c r="M153" s="231"/>
      <c r="N153" s="113" t="s">
        <v>19</v>
      </c>
      <c r="O153" s="58" t="s">
        <v>15</v>
      </c>
      <c r="P153" s="196" t="s">
        <v>16</v>
      </c>
      <c r="Q153" s="140" t="s">
        <v>25</v>
      </c>
      <c r="R153" s="237" t="s">
        <v>26</v>
      </c>
      <c r="S153" s="238"/>
      <c r="T153" s="140" t="s">
        <v>27</v>
      </c>
      <c r="U153" s="237" t="s">
        <v>28</v>
      </c>
      <c r="V153" s="239"/>
      <c r="W153" s="231"/>
      <c r="X153" s="113" t="s">
        <v>19</v>
      </c>
      <c r="Y153" s="58" t="s">
        <v>15</v>
      </c>
      <c r="Z153" s="196" t="s">
        <v>16</v>
      </c>
      <c r="AA153" s="140" t="s">
        <v>25</v>
      </c>
      <c r="AB153" s="237" t="s">
        <v>26</v>
      </c>
      <c r="AC153" s="238"/>
      <c r="AD153" s="140" t="s">
        <v>27</v>
      </c>
      <c r="AE153" s="237" t="s">
        <v>28</v>
      </c>
      <c r="AF153" s="239"/>
      <c r="AG153" s="231"/>
      <c r="AH153" s="113" t="s">
        <v>19</v>
      </c>
      <c r="AI153" s="58" t="s">
        <v>15</v>
      </c>
      <c r="AJ153" s="196" t="s">
        <v>16</v>
      </c>
      <c r="AK153" s="140" t="s">
        <v>25</v>
      </c>
      <c r="AL153" s="237" t="s">
        <v>26</v>
      </c>
      <c r="AM153" s="238"/>
      <c r="AN153" s="140" t="s">
        <v>27</v>
      </c>
      <c r="AO153" s="237" t="s">
        <v>28</v>
      </c>
      <c r="AP153" s="239"/>
    </row>
    <row r="154" spans="1:42" ht="28.5" customHeight="1" thickBot="1">
      <c r="B154" s="122" t="str">
        <f>VLOOKUP(B153,tablapermiso,3)</f>
        <v>Seleccione Gestion</v>
      </c>
      <c r="C154" s="232"/>
      <c r="D154" s="113" t="s">
        <v>19</v>
      </c>
      <c r="E154" s="58" t="s">
        <v>15</v>
      </c>
      <c r="F154" s="196" t="s">
        <v>19</v>
      </c>
      <c r="G154" s="141">
        <v>0</v>
      </c>
      <c r="H154" s="240" t="str">
        <f>VLOOKUP(G154,tablaestado,3)</f>
        <v>Seleccione Estado</v>
      </c>
      <c r="I154" s="240"/>
      <c r="J154" s="240"/>
      <c r="K154" s="240"/>
      <c r="L154" s="241"/>
      <c r="M154" s="232"/>
      <c r="N154" s="113" t="s">
        <v>19</v>
      </c>
      <c r="O154" s="58" t="s">
        <v>15</v>
      </c>
      <c r="P154" s="196" t="s">
        <v>19</v>
      </c>
      <c r="Q154" s="141">
        <v>0</v>
      </c>
      <c r="R154" s="240" t="str">
        <f>VLOOKUP(Q154,tablaestado,3)</f>
        <v>Seleccione Estado</v>
      </c>
      <c r="S154" s="240"/>
      <c r="T154" s="240"/>
      <c r="U154" s="240"/>
      <c r="V154" s="241"/>
      <c r="W154" s="232"/>
      <c r="X154" s="113" t="s">
        <v>19</v>
      </c>
      <c r="Y154" s="58" t="s">
        <v>15</v>
      </c>
      <c r="Z154" s="196" t="s">
        <v>19</v>
      </c>
      <c r="AA154" s="141">
        <v>0</v>
      </c>
      <c r="AB154" s="240" t="str">
        <f>VLOOKUP(AA154,tablaestado,3)</f>
        <v>Seleccione Estado</v>
      </c>
      <c r="AC154" s="240"/>
      <c r="AD154" s="240"/>
      <c r="AE154" s="240"/>
      <c r="AF154" s="241"/>
      <c r="AG154" s="232"/>
      <c r="AH154" s="113" t="s">
        <v>19</v>
      </c>
      <c r="AI154" s="58" t="s">
        <v>15</v>
      </c>
      <c r="AJ154" s="196" t="s">
        <v>19</v>
      </c>
      <c r="AK154" s="141">
        <v>0</v>
      </c>
      <c r="AL154" s="240" t="str">
        <f>VLOOKUP(AK154,tablaestado,3)</f>
        <v>Seleccione Estado</v>
      </c>
      <c r="AM154" s="240"/>
      <c r="AN154" s="240"/>
      <c r="AO154" s="240"/>
      <c r="AP154" s="241"/>
    </row>
    <row r="155" spans="1:42" ht="28.5" customHeight="1" thickBot="1">
      <c r="B155" s="251" t="s">
        <v>1</v>
      </c>
      <c r="C155" s="222" t="s">
        <v>2</v>
      </c>
      <c r="D155" s="112" t="s">
        <v>3</v>
      </c>
      <c r="E155" s="224" t="s">
        <v>4</v>
      </c>
      <c r="F155" s="225"/>
      <c r="G155" s="226" t="s">
        <v>5</v>
      </c>
      <c r="H155" s="227"/>
      <c r="I155" s="227"/>
      <c r="J155" s="227"/>
      <c r="K155" s="227"/>
      <c r="L155" s="228"/>
      <c r="M155" s="222" t="s">
        <v>2</v>
      </c>
      <c r="N155" s="112" t="s">
        <v>3</v>
      </c>
      <c r="O155" s="224" t="s">
        <v>4</v>
      </c>
      <c r="P155" s="225"/>
      <c r="Q155" s="226" t="s">
        <v>6</v>
      </c>
      <c r="R155" s="227"/>
      <c r="S155" s="227"/>
      <c r="T155" s="227"/>
      <c r="U155" s="227"/>
      <c r="V155" s="228"/>
      <c r="W155" s="222" t="s">
        <v>2</v>
      </c>
      <c r="X155" s="112" t="s">
        <v>3</v>
      </c>
      <c r="Y155" s="224" t="s">
        <v>4</v>
      </c>
      <c r="Z155" s="225"/>
      <c r="AA155" s="226" t="s">
        <v>7</v>
      </c>
      <c r="AB155" s="227"/>
      <c r="AC155" s="227"/>
      <c r="AD155" s="227"/>
      <c r="AE155" s="227"/>
      <c r="AF155" s="228"/>
      <c r="AG155" s="222" t="s">
        <v>2</v>
      </c>
      <c r="AH155" s="112" t="s">
        <v>3</v>
      </c>
      <c r="AI155" s="224" t="s">
        <v>4</v>
      </c>
      <c r="AJ155" s="225"/>
      <c r="AK155" s="226" t="s">
        <v>8</v>
      </c>
      <c r="AL155" s="227"/>
      <c r="AM155" s="227"/>
      <c r="AN155" s="227"/>
      <c r="AO155" s="227"/>
      <c r="AP155" s="228"/>
    </row>
    <row r="156" spans="1:42" ht="28.5" customHeight="1" thickBot="1">
      <c r="B156" s="252"/>
      <c r="C156" s="223"/>
      <c r="D156" s="199" t="s">
        <v>9</v>
      </c>
      <c r="E156" s="199" t="s">
        <v>10</v>
      </c>
      <c r="F156" s="112" t="s">
        <v>9</v>
      </c>
      <c r="G156" s="229" t="s">
        <v>11</v>
      </c>
      <c r="H156" s="229"/>
      <c r="I156" s="71" t="s">
        <v>12</v>
      </c>
      <c r="J156" s="147">
        <v>0</v>
      </c>
      <c r="K156" s="71" t="s">
        <v>13</v>
      </c>
      <c r="L156" s="148">
        <v>0</v>
      </c>
      <c r="M156" s="223"/>
      <c r="N156" s="199" t="s">
        <v>9</v>
      </c>
      <c r="O156" s="199" t="s">
        <v>10</v>
      </c>
      <c r="P156" s="112" t="s">
        <v>9</v>
      </c>
      <c r="Q156" s="229" t="s">
        <v>11</v>
      </c>
      <c r="R156" s="229"/>
      <c r="S156" s="71" t="s">
        <v>12</v>
      </c>
      <c r="T156" s="147">
        <v>0</v>
      </c>
      <c r="U156" s="71" t="s">
        <v>13</v>
      </c>
      <c r="V156" s="148">
        <v>0</v>
      </c>
      <c r="W156" s="223"/>
      <c r="X156" s="199" t="s">
        <v>9</v>
      </c>
      <c r="Y156" s="199" t="s">
        <v>10</v>
      </c>
      <c r="Z156" s="112" t="s">
        <v>9</v>
      </c>
      <c r="AA156" s="229" t="s">
        <v>11</v>
      </c>
      <c r="AB156" s="229"/>
      <c r="AC156" s="71" t="s">
        <v>12</v>
      </c>
      <c r="AD156" s="147">
        <v>0</v>
      </c>
      <c r="AE156" s="71" t="s">
        <v>13</v>
      </c>
      <c r="AF156" s="148">
        <v>0</v>
      </c>
      <c r="AG156" s="223"/>
      <c r="AH156" s="199" t="s">
        <v>9</v>
      </c>
      <c r="AI156" s="199" t="s">
        <v>10</v>
      </c>
      <c r="AJ156" s="112" t="s">
        <v>9</v>
      </c>
      <c r="AK156" s="229" t="s">
        <v>11</v>
      </c>
      <c r="AL156" s="229"/>
      <c r="AM156" s="71" t="s">
        <v>12</v>
      </c>
      <c r="AN156" s="147">
        <v>0</v>
      </c>
      <c r="AO156" s="71" t="s">
        <v>13</v>
      </c>
      <c r="AP156" s="148">
        <v>0</v>
      </c>
    </row>
    <row r="157" spans="1:42" ht="28.5" customHeight="1">
      <c r="A157" s="132"/>
      <c r="B157" s="58" t="s">
        <v>52</v>
      </c>
      <c r="C157" s="230"/>
      <c r="D157" s="113" t="s">
        <v>16</v>
      </c>
      <c r="E157" s="58" t="s">
        <v>15</v>
      </c>
      <c r="F157" s="195" t="s">
        <v>16</v>
      </c>
      <c r="G157" s="69" t="s">
        <v>17</v>
      </c>
      <c r="H157" s="233"/>
      <c r="I157" s="233"/>
      <c r="J157" s="233"/>
      <c r="K157" s="69" t="s">
        <v>18</v>
      </c>
      <c r="L157" s="72"/>
      <c r="M157" s="230"/>
      <c r="N157" s="113" t="s">
        <v>16</v>
      </c>
      <c r="O157" s="58" t="s">
        <v>15</v>
      </c>
      <c r="P157" s="195" t="s">
        <v>16</v>
      </c>
      <c r="Q157" s="69" t="s">
        <v>17</v>
      </c>
      <c r="R157" s="233"/>
      <c r="S157" s="233"/>
      <c r="T157" s="233"/>
      <c r="U157" s="69" t="s">
        <v>18</v>
      </c>
      <c r="V157" s="72"/>
      <c r="W157" s="230"/>
      <c r="X157" s="113" t="s">
        <v>16</v>
      </c>
      <c r="Y157" s="58" t="s">
        <v>15</v>
      </c>
      <c r="Z157" s="195" t="s">
        <v>16</v>
      </c>
      <c r="AA157" s="69" t="s">
        <v>17</v>
      </c>
      <c r="AB157" s="233"/>
      <c r="AC157" s="233"/>
      <c r="AD157" s="233"/>
      <c r="AE157" s="69" t="s">
        <v>18</v>
      </c>
      <c r="AF157" s="72"/>
      <c r="AG157" s="230"/>
      <c r="AH157" s="113" t="s">
        <v>16</v>
      </c>
      <c r="AI157" s="58" t="s">
        <v>15</v>
      </c>
      <c r="AJ157" s="195" t="s">
        <v>16</v>
      </c>
      <c r="AK157" s="69" t="s">
        <v>17</v>
      </c>
      <c r="AL157" s="233"/>
      <c r="AM157" s="233"/>
      <c r="AN157" s="233"/>
      <c r="AO157" s="69" t="s">
        <v>18</v>
      </c>
      <c r="AP157" s="72"/>
    </row>
    <row r="158" spans="1:42" ht="28.5" customHeight="1">
      <c r="B158" s="114" t="str">
        <f>VLOOKUP(B157,tablaequipo,4)</f>
        <v>Grua</v>
      </c>
      <c r="C158" s="231"/>
      <c r="D158" s="113" t="s">
        <v>19</v>
      </c>
      <c r="E158" s="58" t="s">
        <v>15</v>
      </c>
      <c r="F158" s="195" t="s">
        <v>19</v>
      </c>
      <c r="G158" s="146" t="s">
        <v>20</v>
      </c>
      <c r="H158" s="234"/>
      <c r="I158" s="234"/>
      <c r="J158" s="234"/>
      <c r="K158" s="234"/>
      <c r="L158" s="235"/>
      <c r="M158" s="231"/>
      <c r="N158" s="113" t="s">
        <v>19</v>
      </c>
      <c r="O158" s="58" t="s">
        <v>15</v>
      </c>
      <c r="P158" s="195" t="s">
        <v>19</v>
      </c>
      <c r="Q158" s="146" t="s">
        <v>20</v>
      </c>
      <c r="R158" s="234"/>
      <c r="S158" s="234"/>
      <c r="T158" s="234"/>
      <c r="U158" s="234"/>
      <c r="V158" s="235"/>
      <c r="W158" s="231"/>
      <c r="X158" s="113" t="s">
        <v>19</v>
      </c>
      <c r="Y158" s="58" t="s">
        <v>15</v>
      </c>
      <c r="Z158" s="195" t="s">
        <v>19</v>
      </c>
      <c r="AA158" s="146" t="s">
        <v>20</v>
      </c>
      <c r="AB158" s="234"/>
      <c r="AC158" s="234"/>
      <c r="AD158" s="234"/>
      <c r="AE158" s="234"/>
      <c r="AF158" s="235"/>
      <c r="AG158" s="231"/>
      <c r="AH158" s="113" t="s">
        <v>19</v>
      </c>
      <c r="AI158" s="58" t="s">
        <v>15</v>
      </c>
      <c r="AJ158" s="195" t="s">
        <v>19</v>
      </c>
      <c r="AK158" s="146" t="s">
        <v>20</v>
      </c>
      <c r="AL158" s="234"/>
      <c r="AM158" s="234"/>
      <c r="AN158" s="234"/>
      <c r="AO158" s="234"/>
      <c r="AP158" s="235"/>
    </row>
    <row r="159" spans="1:42" ht="28.5" customHeight="1">
      <c r="B159" s="114" t="str">
        <f>VLOOKUP(B157,tablaequipo,6)</f>
        <v>Alguiler Grua</v>
      </c>
      <c r="C159" s="231"/>
      <c r="D159" s="113" t="s">
        <v>19</v>
      </c>
      <c r="E159" s="58" t="s">
        <v>15</v>
      </c>
      <c r="F159" s="195" t="s">
        <v>19</v>
      </c>
      <c r="G159" s="70" t="s">
        <v>21</v>
      </c>
      <c r="H159" s="236"/>
      <c r="I159" s="236"/>
      <c r="J159" s="236"/>
      <c r="K159" s="70" t="s">
        <v>22</v>
      </c>
      <c r="L159" s="68"/>
      <c r="M159" s="231"/>
      <c r="N159" s="113" t="s">
        <v>19</v>
      </c>
      <c r="O159" s="58" t="s">
        <v>15</v>
      </c>
      <c r="P159" s="195" t="s">
        <v>19</v>
      </c>
      <c r="Q159" s="70" t="s">
        <v>21</v>
      </c>
      <c r="R159" s="236"/>
      <c r="S159" s="236"/>
      <c r="T159" s="236"/>
      <c r="U159" s="70" t="s">
        <v>22</v>
      </c>
      <c r="V159" s="68"/>
      <c r="W159" s="231"/>
      <c r="X159" s="113" t="s">
        <v>19</v>
      </c>
      <c r="Y159" s="58" t="s">
        <v>15</v>
      </c>
      <c r="Z159" s="195" t="s">
        <v>19</v>
      </c>
      <c r="AA159" s="70" t="s">
        <v>21</v>
      </c>
      <c r="AB159" s="236"/>
      <c r="AC159" s="236"/>
      <c r="AD159" s="236"/>
      <c r="AE159" s="70" t="s">
        <v>22</v>
      </c>
      <c r="AF159" s="68"/>
      <c r="AG159" s="231"/>
      <c r="AH159" s="113" t="s">
        <v>19</v>
      </c>
      <c r="AI159" s="58" t="s">
        <v>15</v>
      </c>
      <c r="AJ159" s="195" t="s">
        <v>19</v>
      </c>
      <c r="AK159" s="70" t="s">
        <v>21</v>
      </c>
      <c r="AL159" s="236"/>
      <c r="AM159" s="236"/>
      <c r="AN159" s="236"/>
      <c r="AO159" s="70" t="s">
        <v>22</v>
      </c>
      <c r="AP159" s="68"/>
    </row>
    <row r="160" spans="1:42" ht="28.5" customHeight="1" thickBot="1">
      <c r="B160" s="114">
        <f>VLOOKUP(B157,tablaequipo,7)</f>
        <v>0</v>
      </c>
      <c r="C160" s="231"/>
      <c r="D160" s="113" t="s">
        <v>19</v>
      </c>
      <c r="E160" s="58" t="s">
        <v>15</v>
      </c>
      <c r="F160" s="195" t="s">
        <v>19</v>
      </c>
      <c r="G160" s="146" t="s">
        <v>23</v>
      </c>
      <c r="H160" s="234"/>
      <c r="I160" s="234"/>
      <c r="J160" s="234"/>
      <c r="K160" s="234"/>
      <c r="L160" s="235"/>
      <c r="M160" s="231"/>
      <c r="N160" s="113" t="s">
        <v>19</v>
      </c>
      <c r="O160" s="58" t="s">
        <v>15</v>
      </c>
      <c r="P160" s="195" t="s">
        <v>19</v>
      </c>
      <c r="Q160" s="146" t="s">
        <v>23</v>
      </c>
      <c r="R160" s="234"/>
      <c r="S160" s="234"/>
      <c r="T160" s="234"/>
      <c r="U160" s="234"/>
      <c r="V160" s="235"/>
      <c r="W160" s="231"/>
      <c r="X160" s="113" t="s">
        <v>19</v>
      </c>
      <c r="Y160" s="58" t="s">
        <v>15</v>
      </c>
      <c r="Z160" s="195" t="s">
        <v>19</v>
      </c>
      <c r="AA160" s="146" t="s">
        <v>23</v>
      </c>
      <c r="AB160" s="234"/>
      <c r="AC160" s="234"/>
      <c r="AD160" s="234"/>
      <c r="AE160" s="234"/>
      <c r="AF160" s="235"/>
      <c r="AG160" s="231"/>
      <c r="AH160" s="113" t="s">
        <v>19</v>
      </c>
      <c r="AI160" s="58" t="s">
        <v>15</v>
      </c>
      <c r="AJ160" s="195" t="s">
        <v>19</v>
      </c>
      <c r="AK160" s="146" t="s">
        <v>23</v>
      </c>
      <c r="AL160" s="234"/>
      <c r="AM160" s="234"/>
      <c r="AN160" s="234"/>
      <c r="AO160" s="234"/>
      <c r="AP160" s="235"/>
    </row>
    <row r="161" spans="1:42" ht="28.5" customHeight="1" thickBot="1">
      <c r="B161" s="114">
        <f>VLOOKUP(B157,tablaequipo,8)</f>
        <v>0</v>
      </c>
      <c r="C161" s="231"/>
      <c r="D161" s="113" t="s">
        <v>19</v>
      </c>
      <c r="E161" s="58" t="s">
        <v>15</v>
      </c>
      <c r="F161" s="177" t="s">
        <v>24</v>
      </c>
      <c r="G161" s="70" t="s">
        <v>21</v>
      </c>
      <c r="H161" s="236"/>
      <c r="I161" s="236"/>
      <c r="J161" s="236"/>
      <c r="K161" s="70" t="s">
        <v>22</v>
      </c>
      <c r="L161" s="68"/>
      <c r="M161" s="231"/>
      <c r="N161" s="113" t="s">
        <v>19</v>
      </c>
      <c r="O161" s="58" t="s">
        <v>15</v>
      </c>
      <c r="P161" s="177" t="s">
        <v>24</v>
      </c>
      <c r="Q161" s="70" t="s">
        <v>21</v>
      </c>
      <c r="R161" s="236"/>
      <c r="S161" s="236"/>
      <c r="T161" s="236"/>
      <c r="U161" s="70" t="s">
        <v>22</v>
      </c>
      <c r="V161" s="68"/>
      <c r="W161" s="231"/>
      <c r="X161" s="113" t="s">
        <v>19</v>
      </c>
      <c r="Y161" s="58" t="s">
        <v>15</v>
      </c>
      <c r="Z161" s="177" t="s">
        <v>24</v>
      </c>
      <c r="AA161" s="70" t="s">
        <v>21</v>
      </c>
      <c r="AB161" s="236"/>
      <c r="AC161" s="236"/>
      <c r="AD161" s="236"/>
      <c r="AE161" s="70" t="s">
        <v>22</v>
      </c>
      <c r="AF161" s="68"/>
      <c r="AG161" s="231"/>
      <c r="AH161" s="113" t="s">
        <v>19</v>
      </c>
      <c r="AI161" s="58" t="s">
        <v>15</v>
      </c>
      <c r="AJ161" s="177" t="s">
        <v>24</v>
      </c>
      <c r="AK161" s="70" t="s">
        <v>21</v>
      </c>
      <c r="AL161" s="236"/>
      <c r="AM161" s="236"/>
      <c r="AN161" s="236"/>
      <c r="AO161" s="70" t="s">
        <v>22</v>
      </c>
      <c r="AP161" s="68"/>
    </row>
    <row r="162" spans="1:42" ht="28.5" customHeight="1" thickBot="1">
      <c r="B162" s="121">
        <v>0</v>
      </c>
      <c r="C162" s="231"/>
      <c r="D162" s="113" t="s">
        <v>19</v>
      </c>
      <c r="E162" s="58" t="s">
        <v>15</v>
      </c>
      <c r="F162" s="196" t="s">
        <v>16</v>
      </c>
      <c r="G162" s="140" t="s">
        <v>25</v>
      </c>
      <c r="H162" s="237" t="s">
        <v>26</v>
      </c>
      <c r="I162" s="238"/>
      <c r="J162" s="140" t="s">
        <v>27</v>
      </c>
      <c r="K162" s="237" t="s">
        <v>28</v>
      </c>
      <c r="L162" s="239"/>
      <c r="M162" s="231"/>
      <c r="N162" s="113" t="s">
        <v>19</v>
      </c>
      <c r="O162" s="58" t="s">
        <v>15</v>
      </c>
      <c r="P162" s="196" t="s">
        <v>16</v>
      </c>
      <c r="Q162" s="140" t="s">
        <v>25</v>
      </c>
      <c r="R162" s="237" t="s">
        <v>26</v>
      </c>
      <c r="S162" s="238"/>
      <c r="T162" s="140" t="s">
        <v>27</v>
      </c>
      <c r="U162" s="237" t="s">
        <v>28</v>
      </c>
      <c r="V162" s="239"/>
      <c r="W162" s="231"/>
      <c r="X162" s="113" t="s">
        <v>19</v>
      </c>
      <c r="Y162" s="58" t="s">
        <v>15</v>
      </c>
      <c r="Z162" s="196" t="s">
        <v>16</v>
      </c>
      <c r="AA162" s="140" t="s">
        <v>25</v>
      </c>
      <c r="AB162" s="237" t="s">
        <v>26</v>
      </c>
      <c r="AC162" s="238"/>
      <c r="AD162" s="140" t="s">
        <v>27</v>
      </c>
      <c r="AE162" s="237" t="s">
        <v>28</v>
      </c>
      <c r="AF162" s="239"/>
      <c r="AG162" s="231"/>
      <c r="AH162" s="113" t="s">
        <v>19</v>
      </c>
      <c r="AI162" s="58" t="s">
        <v>15</v>
      </c>
      <c r="AJ162" s="196" t="s">
        <v>16</v>
      </c>
      <c r="AK162" s="140" t="s">
        <v>25</v>
      </c>
      <c r="AL162" s="237" t="s">
        <v>26</v>
      </c>
      <c r="AM162" s="238"/>
      <c r="AN162" s="140" t="s">
        <v>27</v>
      </c>
      <c r="AO162" s="237" t="s">
        <v>28</v>
      </c>
      <c r="AP162" s="239"/>
    </row>
    <row r="163" spans="1:42" ht="28.5" customHeight="1" thickBot="1">
      <c r="B163" s="122" t="str">
        <f>VLOOKUP(B162,tablapermiso,3)</f>
        <v>Seleccione Gestion</v>
      </c>
      <c r="C163" s="232"/>
      <c r="D163" s="113" t="s">
        <v>19</v>
      </c>
      <c r="E163" s="58" t="s">
        <v>15</v>
      </c>
      <c r="F163" s="196" t="s">
        <v>19</v>
      </c>
      <c r="G163" s="141">
        <v>0</v>
      </c>
      <c r="H163" s="240" t="str">
        <f>VLOOKUP(G163,tablaestado,3)</f>
        <v>Seleccione Estado</v>
      </c>
      <c r="I163" s="240"/>
      <c r="J163" s="240"/>
      <c r="K163" s="240"/>
      <c r="L163" s="241"/>
      <c r="M163" s="232"/>
      <c r="N163" s="113" t="s">
        <v>19</v>
      </c>
      <c r="O163" s="58" t="s">
        <v>15</v>
      </c>
      <c r="P163" s="196" t="s">
        <v>19</v>
      </c>
      <c r="Q163" s="141">
        <v>0</v>
      </c>
      <c r="R163" s="240" t="str">
        <f>VLOOKUP(Q163,tablaestado,3)</f>
        <v>Seleccione Estado</v>
      </c>
      <c r="S163" s="240"/>
      <c r="T163" s="240"/>
      <c r="U163" s="240"/>
      <c r="V163" s="241"/>
      <c r="W163" s="232"/>
      <c r="X163" s="113" t="s">
        <v>19</v>
      </c>
      <c r="Y163" s="58" t="s">
        <v>15</v>
      </c>
      <c r="Z163" s="196" t="s">
        <v>19</v>
      </c>
      <c r="AA163" s="141">
        <v>0</v>
      </c>
      <c r="AB163" s="240" t="str">
        <f>VLOOKUP(AA163,tablaestado,3)</f>
        <v>Seleccione Estado</v>
      </c>
      <c r="AC163" s="240"/>
      <c r="AD163" s="240"/>
      <c r="AE163" s="240"/>
      <c r="AF163" s="241"/>
      <c r="AG163" s="232"/>
      <c r="AH163" s="113" t="s">
        <v>19</v>
      </c>
      <c r="AI163" s="58" t="s">
        <v>15</v>
      </c>
      <c r="AJ163" s="196" t="s">
        <v>19</v>
      </c>
      <c r="AK163" s="141">
        <v>0</v>
      </c>
      <c r="AL163" s="240" t="str">
        <f>VLOOKUP(AK163,tablaestado,3)</f>
        <v>Seleccione Estado</v>
      </c>
      <c r="AM163" s="240"/>
      <c r="AN163" s="240"/>
      <c r="AO163" s="240"/>
      <c r="AP163" s="241"/>
    </row>
    <row r="164" spans="1:42" ht="28.5" customHeight="1" thickBot="1">
      <c r="B164" s="251" t="s">
        <v>1</v>
      </c>
      <c r="C164" s="222" t="s">
        <v>2</v>
      </c>
      <c r="D164" s="112" t="s">
        <v>3</v>
      </c>
      <c r="E164" s="224" t="s">
        <v>4</v>
      </c>
      <c r="F164" s="225"/>
      <c r="G164" s="226" t="s">
        <v>5</v>
      </c>
      <c r="H164" s="227"/>
      <c r="I164" s="227"/>
      <c r="J164" s="227"/>
      <c r="K164" s="227"/>
      <c r="L164" s="228"/>
      <c r="M164" s="222" t="s">
        <v>2</v>
      </c>
      <c r="N164" s="112" t="s">
        <v>3</v>
      </c>
      <c r="O164" s="224" t="s">
        <v>4</v>
      </c>
      <c r="P164" s="225"/>
      <c r="Q164" s="226" t="s">
        <v>6</v>
      </c>
      <c r="R164" s="227"/>
      <c r="S164" s="227"/>
      <c r="T164" s="227"/>
      <c r="U164" s="227"/>
      <c r="V164" s="228"/>
      <c r="W164" s="222" t="s">
        <v>2</v>
      </c>
      <c r="X164" s="112" t="s">
        <v>3</v>
      </c>
      <c r="Y164" s="224" t="s">
        <v>4</v>
      </c>
      <c r="Z164" s="225"/>
      <c r="AA164" s="226" t="s">
        <v>7</v>
      </c>
      <c r="AB164" s="227"/>
      <c r="AC164" s="227"/>
      <c r="AD164" s="227"/>
      <c r="AE164" s="227"/>
      <c r="AF164" s="228"/>
      <c r="AG164" s="222" t="s">
        <v>2</v>
      </c>
      <c r="AH164" s="112" t="s">
        <v>3</v>
      </c>
      <c r="AI164" s="224" t="s">
        <v>4</v>
      </c>
      <c r="AJ164" s="225"/>
      <c r="AK164" s="226" t="s">
        <v>8</v>
      </c>
      <c r="AL164" s="227"/>
      <c r="AM164" s="227"/>
      <c r="AN164" s="227"/>
      <c r="AO164" s="227"/>
      <c r="AP164" s="228"/>
    </row>
    <row r="165" spans="1:42" ht="28.5" customHeight="1" thickBot="1">
      <c r="B165" s="252"/>
      <c r="C165" s="223"/>
      <c r="D165" s="199" t="s">
        <v>9</v>
      </c>
      <c r="E165" s="199" t="s">
        <v>10</v>
      </c>
      <c r="F165" s="112" t="s">
        <v>9</v>
      </c>
      <c r="G165" s="229" t="s">
        <v>53</v>
      </c>
      <c r="H165" s="229"/>
      <c r="I165" s="71" t="s">
        <v>12</v>
      </c>
      <c r="J165" s="147">
        <v>0</v>
      </c>
      <c r="K165" s="71" t="s">
        <v>13</v>
      </c>
      <c r="L165" s="148">
        <v>0</v>
      </c>
      <c r="M165" s="223"/>
      <c r="N165" s="199" t="s">
        <v>9</v>
      </c>
      <c r="O165" s="199" t="s">
        <v>10</v>
      </c>
      <c r="P165" s="112" t="s">
        <v>9</v>
      </c>
      <c r="Q165" s="229" t="s">
        <v>11</v>
      </c>
      <c r="R165" s="229"/>
      <c r="S165" s="71" t="s">
        <v>12</v>
      </c>
      <c r="T165" s="147">
        <v>0</v>
      </c>
      <c r="U165" s="71" t="s">
        <v>13</v>
      </c>
      <c r="V165" s="148">
        <v>0</v>
      </c>
      <c r="W165" s="223"/>
      <c r="X165" s="199" t="s">
        <v>9</v>
      </c>
      <c r="Y165" s="199" t="s">
        <v>10</v>
      </c>
      <c r="Z165" s="112" t="s">
        <v>9</v>
      </c>
      <c r="AA165" s="229" t="s">
        <v>11</v>
      </c>
      <c r="AB165" s="229"/>
      <c r="AC165" s="71" t="s">
        <v>12</v>
      </c>
      <c r="AD165" s="147">
        <v>0</v>
      </c>
      <c r="AE165" s="71" t="s">
        <v>13</v>
      </c>
      <c r="AF165" s="148">
        <v>0</v>
      </c>
      <c r="AG165" s="223"/>
      <c r="AH165" s="199" t="s">
        <v>9</v>
      </c>
      <c r="AI165" s="199" t="s">
        <v>10</v>
      </c>
      <c r="AJ165" s="112" t="s">
        <v>9</v>
      </c>
      <c r="AK165" s="229" t="s">
        <v>11</v>
      </c>
      <c r="AL165" s="229"/>
      <c r="AM165" s="71" t="s">
        <v>12</v>
      </c>
      <c r="AN165" s="147">
        <v>0</v>
      </c>
      <c r="AO165" s="71" t="s">
        <v>13</v>
      </c>
      <c r="AP165" s="148">
        <v>0</v>
      </c>
    </row>
    <row r="166" spans="1:42" ht="28.5" customHeight="1">
      <c r="A166" s="132"/>
      <c r="B166" s="58" t="s">
        <v>54</v>
      </c>
      <c r="C166" s="230"/>
      <c r="D166" s="113" t="s">
        <v>55</v>
      </c>
      <c r="E166" s="58" t="s">
        <v>15</v>
      </c>
      <c r="F166" s="195" t="s">
        <v>16</v>
      </c>
      <c r="G166" s="69" t="s">
        <v>17</v>
      </c>
      <c r="H166" s="233" t="s">
        <v>56</v>
      </c>
      <c r="I166" s="233"/>
      <c r="J166" s="233"/>
      <c r="K166" s="69" t="s">
        <v>18</v>
      </c>
      <c r="L166" s="72">
        <v>0.25</v>
      </c>
      <c r="M166" s="230"/>
      <c r="N166" s="113" t="s">
        <v>16</v>
      </c>
      <c r="O166" s="58" t="s">
        <v>15</v>
      </c>
      <c r="P166" s="195" t="s">
        <v>16</v>
      </c>
      <c r="Q166" s="69" t="s">
        <v>17</v>
      </c>
      <c r="R166" s="233"/>
      <c r="S166" s="233"/>
      <c r="T166" s="233"/>
      <c r="U166" s="69" t="s">
        <v>18</v>
      </c>
      <c r="V166" s="72"/>
      <c r="W166" s="230"/>
      <c r="X166" s="113" t="s">
        <v>16</v>
      </c>
      <c r="Y166" s="58" t="s">
        <v>15</v>
      </c>
      <c r="Z166" s="195" t="s">
        <v>16</v>
      </c>
      <c r="AA166" s="69" t="s">
        <v>17</v>
      </c>
      <c r="AB166" s="233"/>
      <c r="AC166" s="233"/>
      <c r="AD166" s="233"/>
      <c r="AE166" s="69" t="s">
        <v>18</v>
      </c>
      <c r="AF166" s="72"/>
      <c r="AG166" s="230"/>
      <c r="AH166" s="113" t="s">
        <v>16</v>
      </c>
      <c r="AI166" s="58" t="s">
        <v>15</v>
      </c>
      <c r="AJ166" s="195" t="s">
        <v>16</v>
      </c>
      <c r="AK166" s="69" t="s">
        <v>17</v>
      </c>
      <c r="AL166" s="233"/>
      <c r="AM166" s="233"/>
      <c r="AN166" s="233"/>
      <c r="AO166" s="69" t="s">
        <v>18</v>
      </c>
      <c r="AP166" s="72"/>
    </row>
    <row r="167" spans="1:42" ht="28.5" customHeight="1">
      <c r="B167" s="114" t="str">
        <f>VLOOKUP(B166,tablaequipo,4)</f>
        <v>Grua</v>
      </c>
      <c r="C167" s="231"/>
      <c r="D167" s="113"/>
      <c r="E167" s="58" t="s">
        <v>15</v>
      </c>
      <c r="F167" s="195" t="s">
        <v>19</v>
      </c>
      <c r="G167" s="146" t="s">
        <v>20</v>
      </c>
      <c r="H167" s="234" t="s">
        <v>57</v>
      </c>
      <c r="I167" s="234"/>
      <c r="J167" s="234"/>
      <c r="K167" s="234"/>
      <c r="L167" s="235"/>
      <c r="M167" s="231"/>
      <c r="N167" s="113" t="s">
        <v>19</v>
      </c>
      <c r="O167" s="58" t="s">
        <v>15</v>
      </c>
      <c r="P167" s="195" t="s">
        <v>19</v>
      </c>
      <c r="Q167" s="146" t="s">
        <v>20</v>
      </c>
      <c r="R167" s="234"/>
      <c r="S167" s="234"/>
      <c r="T167" s="234"/>
      <c r="U167" s="234"/>
      <c r="V167" s="235"/>
      <c r="W167" s="231"/>
      <c r="X167" s="113" t="s">
        <v>19</v>
      </c>
      <c r="Y167" s="58" t="s">
        <v>15</v>
      </c>
      <c r="Z167" s="195" t="s">
        <v>19</v>
      </c>
      <c r="AA167" s="146" t="s">
        <v>20</v>
      </c>
      <c r="AB167" s="234"/>
      <c r="AC167" s="234"/>
      <c r="AD167" s="234"/>
      <c r="AE167" s="234"/>
      <c r="AF167" s="235"/>
      <c r="AG167" s="231"/>
      <c r="AH167" s="113" t="s">
        <v>19</v>
      </c>
      <c r="AI167" s="58" t="s">
        <v>15</v>
      </c>
      <c r="AJ167" s="195" t="s">
        <v>19</v>
      </c>
      <c r="AK167" s="146" t="s">
        <v>20</v>
      </c>
      <c r="AL167" s="234"/>
      <c r="AM167" s="234"/>
      <c r="AN167" s="234"/>
      <c r="AO167" s="234"/>
      <c r="AP167" s="235"/>
    </row>
    <row r="168" spans="1:42" ht="28.5" customHeight="1">
      <c r="B168" s="114" t="str">
        <f>VLOOKUP(B166,tablaequipo,6)</f>
        <v>LIEBHERR</v>
      </c>
      <c r="C168" s="231"/>
      <c r="D168" s="113"/>
      <c r="E168" s="58" t="s">
        <v>15</v>
      </c>
      <c r="F168" s="195" t="s">
        <v>19</v>
      </c>
      <c r="G168" s="70" t="s">
        <v>21</v>
      </c>
      <c r="H168" s="236"/>
      <c r="I168" s="236"/>
      <c r="J168" s="236"/>
      <c r="K168" s="70" t="s">
        <v>22</v>
      </c>
      <c r="L168" s="68"/>
      <c r="M168" s="231"/>
      <c r="N168" s="113" t="s">
        <v>19</v>
      </c>
      <c r="O168" s="58" t="s">
        <v>15</v>
      </c>
      <c r="P168" s="195" t="s">
        <v>19</v>
      </c>
      <c r="Q168" s="70" t="s">
        <v>21</v>
      </c>
      <c r="R168" s="236"/>
      <c r="S168" s="236"/>
      <c r="T168" s="236"/>
      <c r="U168" s="70" t="s">
        <v>22</v>
      </c>
      <c r="V168" s="68"/>
      <c r="W168" s="231"/>
      <c r="X168" s="113" t="s">
        <v>19</v>
      </c>
      <c r="Y168" s="58" t="s">
        <v>15</v>
      </c>
      <c r="Z168" s="195" t="s">
        <v>19</v>
      </c>
      <c r="AA168" s="70" t="s">
        <v>21</v>
      </c>
      <c r="AB168" s="236"/>
      <c r="AC168" s="236"/>
      <c r="AD168" s="236"/>
      <c r="AE168" s="70" t="s">
        <v>22</v>
      </c>
      <c r="AF168" s="68"/>
      <c r="AG168" s="231"/>
      <c r="AH168" s="113" t="s">
        <v>19</v>
      </c>
      <c r="AI168" s="58" t="s">
        <v>15</v>
      </c>
      <c r="AJ168" s="195" t="s">
        <v>19</v>
      </c>
      <c r="AK168" s="70" t="s">
        <v>21</v>
      </c>
      <c r="AL168" s="236"/>
      <c r="AM168" s="236"/>
      <c r="AN168" s="236"/>
      <c r="AO168" s="70" t="s">
        <v>22</v>
      </c>
      <c r="AP168" s="68"/>
    </row>
    <row r="169" spans="1:42" ht="28.5" customHeight="1" thickBot="1">
      <c r="B169" s="114" t="str">
        <f>VLOOKUP(B166,tablaequipo,7)</f>
        <v>LTM 1030</v>
      </c>
      <c r="C169" s="231"/>
      <c r="D169" s="113"/>
      <c r="E169" s="58" t="s">
        <v>15</v>
      </c>
      <c r="F169" s="195" t="s">
        <v>19</v>
      </c>
      <c r="G169" s="146" t="s">
        <v>23</v>
      </c>
      <c r="H169" s="234"/>
      <c r="I169" s="234"/>
      <c r="J169" s="234"/>
      <c r="K169" s="234"/>
      <c r="L169" s="235"/>
      <c r="M169" s="231"/>
      <c r="N169" s="113" t="s">
        <v>19</v>
      </c>
      <c r="O169" s="58" t="s">
        <v>15</v>
      </c>
      <c r="P169" s="195" t="s">
        <v>19</v>
      </c>
      <c r="Q169" s="146" t="s">
        <v>23</v>
      </c>
      <c r="R169" s="234"/>
      <c r="S169" s="234"/>
      <c r="T169" s="234"/>
      <c r="U169" s="234"/>
      <c r="V169" s="235"/>
      <c r="W169" s="231"/>
      <c r="X169" s="113" t="s">
        <v>19</v>
      </c>
      <c r="Y169" s="58" t="s">
        <v>15</v>
      </c>
      <c r="Z169" s="195" t="s">
        <v>19</v>
      </c>
      <c r="AA169" s="146" t="s">
        <v>23</v>
      </c>
      <c r="AB169" s="234"/>
      <c r="AC169" s="234"/>
      <c r="AD169" s="234"/>
      <c r="AE169" s="234"/>
      <c r="AF169" s="235"/>
      <c r="AG169" s="231"/>
      <c r="AH169" s="113" t="s">
        <v>19</v>
      </c>
      <c r="AI169" s="58" t="s">
        <v>15</v>
      </c>
      <c r="AJ169" s="195" t="s">
        <v>19</v>
      </c>
      <c r="AK169" s="146" t="s">
        <v>23</v>
      </c>
      <c r="AL169" s="234"/>
      <c r="AM169" s="234"/>
      <c r="AN169" s="234"/>
      <c r="AO169" s="234"/>
      <c r="AP169" s="235"/>
    </row>
    <row r="170" spans="1:42" ht="28.5" customHeight="1" thickBot="1">
      <c r="B170" s="114" t="str">
        <f>VLOOKUP(B166,tablaequipo,8)</f>
        <v>-</v>
      </c>
      <c r="C170" s="231"/>
      <c r="D170" s="113"/>
      <c r="E170" s="58" t="s">
        <v>15</v>
      </c>
      <c r="F170" s="177" t="s">
        <v>24</v>
      </c>
      <c r="G170" s="70" t="s">
        <v>21</v>
      </c>
      <c r="H170" s="236"/>
      <c r="I170" s="236"/>
      <c r="J170" s="236"/>
      <c r="K170" s="70" t="s">
        <v>22</v>
      </c>
      <c r="L170" s="68"/>
      <c r="M170" s="231"/>
      <c r="N170" s="113" t="s">
        <v>19</v>
      </c>
      <c r="O170" s="58" t="s">
        <v>15</v>
      </c>
      <c r="P170" s="177" t="s">
        <v>24</v>
      </c>
      <c r="Q170" s="70" t="s">
        <v>21</v>
      </c>
      <c r="R170" s="236"/>
      <c r="S170" s="236"/>
      <c r="T170" s="236"/>
      <c r="U170" s="70" t="s">
        <v>22</v>
      </c>
      <c r="V170" s="68"/>
      <c r="W170" s="231"/>
      <c r="X170" s="113" t="s">
        <v>19</v>
      </c>
      <c r="Y170" s="58" t="s">
        <v>15</v>
      </c>
      <c r="Z170" s="177" t="s">
        <v>24</v>
      </c>
      <c r="AA170" s="70" t="s">
        <v>21</v>
      </c>
      <c r="AB170" s="236"/>
      <c r="AC170" s="236"/>
      <c r="AD170" s="236"/>
      <c r="AE170" s="70" t="s">
        <v>22</v>
      </c>
      <c r="AF170" s="68"/>
      <c r="AG170" s="231"/>
      <c r="AH170" s="113" t="s">
        <v>19</v>
      </c>
      <c r="AI170" s="58" t="s">
        <v>15</v>
      </c>
      <c r="AJ170" s="177" t="s">
        <v>24</v>
      </c>
      <c r="AK170" s="70" t="s">
        <v>21</v>
      </c>
      <c r="AL170" s="236"/>
      <c r="AM170" s="236"/>
      <c r="AN170" s="236"/>
      <c r="AO170" s="70" t="s">
        <v>22</v>
      </c>
      <c r="AP170" s="68"/>
    </row>
    <row r="171" spans="1:42" ht="28.5" customHeight="1" thickBot="1">
      <c r="B171" s="121">
        <v>0</v>
      </c>
      <c r="C171" s="231"/>
      <c r="D171" s="113"/>
      <c r="E171" s="58" t="s">
        <v>15</v>
      </c>
      <c r="F171" s="196" t="s">
        <v>16</v>
      </c>
      <c r="G171" s="140" t="s">
        <v>25</v>
      </c>
      <c r="H171" s="237" t="s">
        <v>26</v>
      </c>
      <c r="I171" s="238"/>
      <c r="J171" s="140" t="s">
        <v>27</v>
      </c>
      <c r="K171" s="237" t="s">
        <v>44</v>
      </c>
      <c r="L171" s="239"/>
      <c r="M171" s="231"/>
      <c r="N171" s="113" t="s">
        <v>19</v>
      </c>
      <c r="O171" s="58" t="s">
        <v>15</v>
      </c>
      <c r="P171" s="196" t="s">
        <v>16</v>
      </c>
      <c r="Q171" s="140" t="s">
        <v>25</v>
      </c>
      <c r="R171" s="237" t="s">
        <v>26</v>
      </c>
      <c r="S171" s="238"/>
      <c r="T171" s="140" t="s">
        <v>27</v>
      </c>
      <c r="U171" s="237" t="s">
        <v>28</v>
      </c>
      <c r="V171" s="239"/>
      <c r="W171" s="231"/>
      <c r="X171" s="113" t="s">
        <v>19</v>
      </c>
      <c r="Y171" s="58" t="s">
        <v>15</v>
      </c>
      <c r="Z171" s="196" t="s">
        <v>16</v>
      </c>
      <c r="AA171" s="140" t="s">
        <v>25</v>
      </c>
      <c r="AB171" s="237" t="s">
        <v>26</v>
      </c>
      <c r="AC171" s="238"/>
      <c r="AD171" s="140" t="s">
        <v>27</v>
      </c>
      <c r="AE171" s="237" t="s">
        <v>28</v>
      </c>
      <c r="AF171" s="239"/>
      <c r="AG171" s="231"/>
      <c r="AH171" s="113" t="s">
        <v>19</v>
      </c>
      <c r="AI171" s="58" t="s">
        <v>15</v>
      </c>
      <c r="AJ171" s="196" t="s">
        <v>16</v>
      </c>
      <c r="AK171" s="140" t="s">
        <v>25</v>
      </c>
      <c r="AL171" s="237" t="s">
        <v>26</v>
      </c>
      <c r="AM171" s="238"/>
      <c r="AN171" s="140" t="s">
        <v>27</v>
      </c>
      <c r="AO171" s="237" t="s">
        <v>28</v>
      </c>
      <c r="AP171" s="239"/>
    </row>
    <row r="172" spans="1:42" ht="28.5" customHeight="1" thickBot="1">
      <c r="B172" s="122" t="str">
        <f>VLOOKUP(B171,tablapermiso,3)</f>
        <v>Seleccione Gestion</v>
      </c>
      <c r="C172" s="232"/>
      <c r="D172" s="113"/>
      <c r="E172" s="58" t="s">
        <v>15</v>
      </c>
      <c r="F172" s="196" t="s">
        <v>19</v>
      </c>
      <c r="G172" s="141">
        <v>1</v>
      </c>
      <c r="H172" s="240" t="str">
        <f>VLOOKUP(G172,tablaestado,3)</f>
        <v>En ejecucion</v>
      </c>
      <c r="I172" s="240"/>
      <c r="J172" s="240"/>
      <c r="K172" s="240"/>
      <c r="L172" s="241"/>
      <c r="M172" s="232"/>
      <c r="N172" s="113" t="s">
        <v>19</v>
      </c>
      <c r="O172" s="58" t="s">
        <v>15</v>
      </c>
      <c r="P172" s="196" t="s">
        <v>19</v>
      </c>
      <c r="Q172" s="141">
        <v>0</v>
      </c>
      <c r="R172" s="240" t="str">
        <f>VLOOKUP(Q172,tablaestado,3)</f>
        <v>Seleccione Estado</v>
      </c>
      <c r="S172" s="240"/>
      <c r="T172" s="240"/>
      <c r="U172" s="240"/>
      <c r="V172" s="241"/>
      <c r="W172" s="232"/>
      <c r="X172" s="113" t="s">
        <v>19</v>
      </c>
      <c r="Y172" s="58" t="s">
        <v>15</v>
      </c>
      <c r="Z172" s="196" t="s">
        <v>19</v>
      </c>
      <c r="AA172" s="141">
        <v>0</v>
      </c>
      <c r="AB172" s="240" t="str">
        <f>VLOOKUP(AA172,tablaestado,3)</f>
        <v>Seleccione Estado</v>
      </c>
      <c r="AC172" s="240"/>
      <c r="AD172" s="240"/>
      <c r="AE172" s="240"/>
      <c r="AF172" s="241"/>
      <c r="AG172" s="232"/>
      <c r="AH172" s="113" t="s">
        <v>19</v>
      </c>
      <c r="AI172" s="58" t="s">
        <v>15</v>
      </c>
      <c r="AJ172" s="196" t="s">
        <v>19</v>
      </c>
      <c r="AK172" s="141">
        <v>0</v>
      </c>
      <c r="AL172" s="240" t="str">
        <f>VLOOKUP(AK172,tablaestado,3)</f>
        <v>Seleccione Estado</v>
      </c>
      <c r="AM172" s="240"/>
      <c r="AN172" s="240"/>
      <c r="AO172" s="240"/>
      <c r="AP172" s="241"/>
    </row>
    <row r="173" spans="1:42" ht="28.5" customHeight="1" thickBot="1">
      <c r="B173" s="251" t="s">
        <v>1</v>
      </c>
      <c r="C173" s="222" t="s">
        <v>2</v>
      </c>
      <c r="D173" s="112" t="s">
        <v>3</v>
      </c>
      <c r="E173" s="224" t="s">
        <v>4</v>
      </c>
      <c r="F173" s="225"/>
      <c r="G173" s="226" t="s">
        <v>5</v>
      </c>
      <c r="H173" s="227"/>
      <c r="I173" s="227"/>
      <c r="J173" s="227"/>
      <c r="K173" s="227"/>
      <c r="L173" s="228"/>
      <c r="M173" s="222" t="s">
        <v>2</v>
      </c>
      <c r="N173" s="112" t="s">
        <v>3</v>
      </c>
      <c r="O173" s="224" t="s">
        <v>4</v>
      </c>
      <c r="P173" s="225"/>
      <c r="Q173" s="226" t="s">
        <v>6</v>
      </c>
      <c r="R173" s="227"/>
      <c r="S173" s="227"/>
      <c r="T173" s="227"/>
      <c r="U173" s="227"/>
      <c r="V173" s="228"/>
      <c r="W173" s="222" t="s">
        <v>2</v>
      </c>
      <c r="X173" s="112" t="s">
        <v>3</v>
      </c>
      <c r="Y173" s="224" t="s">
        <v>4</v>
      </c>
      <c r="Z173" s="225"/>
      <c r="AA173" s="226" t="s">
        <v>7</v>
      </c>
      <c r="AB173" s="227"/>
      <c r="AC173" s="227"/>
      <c r="AD173" s="227"/>
      <c r="AE173" s="227"/>
      <c r="AF173" s="228"/>
      <c r="AG173" s="222" t="s">
        <v>2</v>
      </c>
      <c r="AH173" s="112" t="s">
        <v>3</v>
      </c>
      <c r="AI173" s="224" t="s">
        <v>4</v>
      </c>
      <c r="AJ173" s="225"/>
      <c r="AK173" s="226" t="s">
        <v>8</v>
      </c>
      <c r="AL173" s="227"/>
      <c r="AM173" s="227"/>
      <c r="AN173" s="227"/>
      <c r="AO173" s="227"/>
      <c r="AP173" s="228"/>
    </row>
    <row r="174" spans="1:42" ht="28.5" customHeight="1" thickBot="1">
      <c r="B174" s="252"/>
      <c r="C174" s="223"/>
      <c r="D174" s="199" t="s">
        <v>9</v>
      </c>
      <c r="E174" s="199" t="s">
        <v>10</v>
      </c>
      <c r="F174" s="112" t="s">
        <v>9</v>
      </c>
      <c r="G174" s="229" t="s">
        <v>11</v>
      </c>
      <c r="H174" s="229"/>
      <c r="I174" s="71" t="s">
        <v>12</v>
      </c>
      <c r="J174" s="147">
        <v>0</v>
      </c>
      <c r="K174" s="71" t="s">
        <v>13</v>
      </c>
      <c r="L174" s="148">
        <v>0</v>
      </c>
      <c r="M174" s="223"/>
      <c r="N174" s="199" t="s">
        <v>9</v>
      </c>
      <c r="O174" s="199" t="s">
        <v>10</v>
      </c>
      <c r="P174" s="112" t="s">
        <v>9</v>
      </c>
      <c r="Q174" s="229" t="s">
        <v>11</v>
      </c>
      <c r="R174" s="229"/>
      <c r="S174" s="71" t="s">
        <v>12</v>
      </c>
      <c r="T174" s="147">
        <v>0</v>
      </c>
      <c r="U174" s="71" t="s">
        <v>13</v>
      </c>
      <c r="V174" s="148">
        <v>0</v>
      </c>
      <c r="W174" s="223"/>
      <c r="X174" s="199" t="s">
        <v>9</v>
      </c>
      <c r="Y174" s="199" t="s">
        <v>10</v>
      </c>
      <c r="Z174" s="112" t="s">
        <v>9</v>
      </c>
      <c r="AA174" s="229" t="s">
        <v>11</v>
      </c>
      <c r="AB174" s="229"/>
      <c r="AC174" s="71" t="s">
        <v>12</v>
      </c>
      <c r="AD174" s="147">
        <v>0</v>
      </c>
      <c r="AE174" s="71" t="s">
        <v>13</v>
      </c>
      <c r="AF174" s="148">
        <v>0</v>
      </c>
      <c r="AG174" s="223"/>
      <c r="AH174" s="199" t="s">
        <v>9</v>
      </c>
      <c r="AI174" s="199" t="s">
        <v>10</v>
      </c>
      <c r="AJ174" s="112" t="s">
        <v>9</v>
      </c>
      <c r="AK174" s="229" t="s">
        <v>11</v>
      </c>
      <c r="AL174" s="229"/>
      <c r="AM174" s="71" t="s">
        <v>12</v>
      </c>
      <c r="AN174" s="147">
        <v>0</v>
      </c>
      <c r="AO174" s="71" t="s">
        <v>13</v>
      </c>
      <c r="AP174" s="148">
        <v>0</v>
      </c>
    </row>
    <row r="175" spans="1:42" ht="28.5" customHeight="1">
      <c r="A175" s="132"/>
      <c r="B175" s="58" t="s">
        <v>58</v>
      </c>
      <c r="C175" s="230"/>
      <c r="D175" s="113" t="s">
        <v>16</v>
      </c>
      <c r="E175" s="58" t="s">
        <v>15</v>
      </c>
      <c r="F175" s="195" t="s">
        <v>16</v>
      </c>
      <c r="G175" s="69" t="s">
        <v>17</v>
      </c>
      <c r="H175" s="233"/>
      <c r="I175" s="233"/>
      <c r="J175" s="233"/>
      <c r="K175" s="69" t="s">
        <v>18</v>
      </c>
      <c r="L175" s="72"/>
      <c r="M175" s="230"/>
      <c r="N175" s="113" t="s">
        <v>16</v>
      </c>
      <c r="O175" s="58" t="s">
        <v>15</v>
      </c>
      <c r="P175" s="195" t="s">
        <v>16</v>
      </c>
      <c r="Q175" s="69" t="s">
        <v>17</v>
      </c>
      <c r="R175" s="233"/>
      <c r="S175" s="233"/>
      <c r="T175" s="233"/>
      <c r="U175" s="69" t="s">
        <v>18</v>
      </c>
      <c r="V175" s="72"/>
      <c r="W175" s="230"/>
      <c r="X175" s="113" t="s">
        <v>16</v>
      </c>
      <c r="Y175" s="58" t="s">
        <v>15</v>
      </c>
      <c r="Z175" s="195" t="s">
        <v>16</v>
      </c>
      <c r="AA175" s="69" t="s">
        <v>17</v>
      </c>
      <c r="AB175" s="233"/>
      <c r="AC175" s="233"/>
      <c r="AD175" s="233"/>
      <c r="AE175" s="69" t="s">
        <v>18</v>
      </c>
      <c r="AF175" s="72"/>
      <c r="AG175" s="230"/>
      <c r="AH175" s="113" t="s">
        <v>16</v>
      </c>
      <c r="AI175" s="58" t="s">
        <v>15</v>
      </c>
      <c r="AJ175" s="195" t="s">
        <v>16</v>
      </c>
      <c r="AK175" s="69" t="s">
        <v>17</v>
      </c>
      <c r="AL175" s="233"/>
      <c r="AM175" s="233"/>
      <c r="AN175" s="233"/>
      <c r="AO175" s="69" t="s">
        <v>18</v>
      </c>
      <c r="AP175" s="72"/>
    </row>
    <row r="176" spans="1:42" ht="28.5" customHeight="1">
      <c r="B176" s="114" t="str">
        <f>VLOOKUP(B175,tablaequipo,4)</f>
        <v>Grua</v>
      </c>
      <c r="C176" s="231"/>
      <c r="D176" s="113" t="s">
        <v>19</v>
      </c>
      <c r="E176" s="58" t="s">
        <v>15</v>
      </c>
      <c r="F176" s="195" t="s">
        <v>19</v>
      </c>
      <c r="G176" s="146" t="s">
        <v>20</v>
      </c>
      <c r="H176" s="234"/>
      <c r="I176" s="234"/>
      <c r="J176" s="234"/>
      <c r="K176" s="234"/>
      <c r="L176" s="235"/>
      <c r="M176" s="231"/>
      <c r="N176" s="113" t="s">
        <v>19</v>
      </c>
      <c r="O176" s="58" t="s">
        <v>15</v>
      </c>
      <c r="P176" s="195" t="s">
        <v>19</v>
      </c>
      <c r="Q176" s="146" t="s">
        <v>20</v>
      </c>
      <c r="R176" s="234"/>
      <c r="S176" s="234"/>
      <c r="T176" s="234"/>
      <c r="U176" s="234"/>
      <c r="V176" s="235"/>
      <c r="W176" s="231"/>
      <c r="X176" s="113" t="s">
        <v>19</v>
      </c>
      <c r="Y176" s="58" t="s">
        <v>15</v>
      </c>
      <c r="Z176" s="195" t="s">
        <v>19</v>
      </c>
      <c r="AA176" s="146" t="s">
        <v>20</v>
      </c>
      <c r="AB176" s="234"/>
      <c r="AC176" s="234"/>
      <c r="AD176" s="234"/>
      <c r="AE176" s="234"/>
      <c r="AF176" s="235"/>
      <c r="AG176" s="231"/>
      <c r="AH176" s="113" t="s">
        <v>19</v>
      </c>
      <c r="AI176" s="58" t="s">
        <v>15</v>
      </c>
      <c r="AJ176" s="195" t="s">
        <v>19</v>
      </c>
      <c r="AK176" s="146" t="s">
        <v>20</v>
      </c>
      <c r="AL176" s="234"/>
      <c r="AM176" s="234"/>
      <c r="AN176" s="234"/>
      <c r="AO176" s="234"/>
      <c r="AP176" s="235"/>
    </row>
    <row r="177" spans="1:42" ht="28.5" customHeight="1">
      <c r="B177" s="114" t="str">
        <f>VLOOKUP(B175,tablaequipo,6)</f>
        <v>LIEBHERR</v>
      </c>
      <c r="C177" s="231"/>
      <c r="D177" s="113" t="s">
        <v>19</v>
      </c>
      <c r="E177" s="58" t="s">
        <v>15</v>
      </c>
      <c r="F177" s="195" t="s">
        <v>19</v>
      </c>
      <c r="G177" s="70" t="s">
        <v>21</v>
      </c>
      <c r="H177" s="236"/>
      <c r="I177" s="236"/>
      <c r="J177" s="236"/>
      <c r="K177" s="70" t="s">
        <v>22</v>
      </c>
      <c r="L177" s="68"/>
      <c r="M177" s="231"/>
      <c r="N177" s="113" t="s">
        <v>19</v>
      </c>
      <c r="O177" s="58" t="s">
        <v>15</v>
      </c>
      <c r="P177" s="195" t="s">
        <v>19</v>
      </c>
      <c r="Q177" s="70" t="s">
        <v>21</v>
      </c>
      <c r="R177" s="236"/>
      <c r="S177" s="236"/>
      <c r="T177" s="236"/>
      <c r="U177" s="70" t="s">
        <v>22</v>
      </c>
      <c r="V177" s="68"/>
      <c r="W177" s="231"/>
      <c r="X177" s="113" t="s">
        <v>19</v>
      </c>
      <c r="Y177" s="58" t="s">
        <v>15</v>
      </c>
      <c r="Z177" s="195" t="s">
        <v>19</v>
      </c>
      <c r="AA177" s="70" t="s">
        <v>21</v>
      </c>
      <c r="AB177" s="236"/>
      <c r="AC177" s="236"/>
      <c r="AD177" s="236"/>
      <c r="AE177" s="70" t="s">
        <v>22</v>
      </c>
      <c r="AF177" s="68"/>
      <c r="AG177" s="231"/>
      <c r="AH177" s="113" t="s">
        <v>19</v>
      </c>
      <c r="AI177" s="58" t="s">
        <v>15</v>
      </c>
      <c r="AJ177" s="195" t="s">
        <v>19</v>
      </c>
      <c r="AK177" s="70" t="s">
        <v>21</v>
      </c>
      <c r="AL177" s="236"/>
      <c r="AM177" s="236"/>
      <c r="AN177" s="236"/>
      <c r="AO177" s="70" t="s">
        <v>22</v>
      </c>
      <c r="AP177" s="68"/>
    </row>
    <row r="178" spans="1:42" ht="28.5" customHeight="1" thickBot="1">
      <c r="B178" s="114" t="str">
        <f>VLOOKUP(B175,tablaequipo,7)</f>
        <v>LTM 1070</v>
      </c>
      <c r="C178" s="231"/>
      <c r="D178" s="113" t="s">
        <v>19</v>
      </c>
      <c r="E178" s="58" t="s">
        <v>15</v>
      </c>
      <c r="F178" s="195" t="s">
        <v>19</v>
      </c>
      <c r="G178" s="146" t="s">
        <v>23</v>
      </c>
      <c r="H178" s="234"/>
      <c r="I178" s="234"/>
      <c r="J178" s="234"/>
      <c r="K178" s="234"/>
      <c r="L178" s="235"/>
      <c r="M178" s="231"/>
      <c r="N178" s="113" t="s">
        <v>19</v>
      </c>
      <c r="O178" s="58" t="s">
        <v>15</v>
      </c>
      <c r="P178" s="195" t="s">
        <v>19</v>
      </c>
      <c r="Q178" s="146" t="s">
        <v>23</v>
      </c>
      <c r="R178" s="234"/>
      <c r="S178" s="234"/>
      <c r="T178" s="234"/>
      <c r="U178" s="234"/>
      <c r="V178" s="235"/>
      <c r="W178" s="231"/>
      <c r="X178" s="113" t="s">
        <v>19</v>
      </c>
      <c r="Y178" s="58" t="s">
        <v>15</v>
      </c>
      <c r="Z178" s="195" t="s">
        <v>19</v>
      </c>
      <c r="AA178" s="146" t="s">
        <v>23</v>
      </c>
      <c r="AB178" s="234"/>
      <c r="AC178" s="234"/>
      <c r="AD178" s="234"/>
      <c r="AE178" s="234"/>
      <c r="AF178" s="235"/>
      <c r="AG178" s="231"/>
      <c r="AH178" s="113" t="s">
        <v>19</v>
      </c>
      <c r="AI178" s="58" t="s">
        <v>15</v>
      </c>
      <c r="AJ178" s="195" t="s">
        <v>19</v>
      </c>
      <c r="AK178" s="146" t="s">
        <v>23</v>
      </c>
      <c r="AL178" s="234"/>
      <c r="AM178" s="234"/>
      <c r="AN178" s="234"/>
      <c r="AO178" s="234"/>
      <c r="AP178" s="235"/>
    </row>
    <row r="179" spans="1:42" ht="28.5" customHeight="1" thickBot="1">
      <c r="B179" s="114" t="str">
        <f>VLOOKUP(B175,tablaequipo,8)</f>
        <v>LGU 098</v>
      </c>
      <c r="C179" s="231"/>
      <c r="D179" s="113" t="s">
        <v>19</v>
      </c>
      <c r="E179" s="58" t="s">
        <v>15</v>
      </c>
      <c r="F179" s="177" t="s">
        <v>24</v>
      </c>
      <c r="G179" s="70" t="s">
        <v>21</v>
      </c>
      <c r="H179" s="236"/>
      <c r="I179" s="236"/>
      <c r="J179" s="236"/>
      <c r="K179" s="70" t="s">
        <v>22</v>
      </c>
      <c r="L179" s="68"/>
      <c r="M179" s="231"/>
      <c r="N179" s="113" t="s">
        <v>19</v>
      </c>
      <c r="O179" s="58" t="s">
        <v>15</v>
      </c>
      <c r="P179" s="177" t="s">
        <v>24</v>
      </c>
      <c r="Q179" s="70" t="s">
        <v>21</v>
      </c>
      <c r="R179" s="236"/>
      <c r="S179" s="236"/>
      <c r="T179" s="236"/>
      <c r="U179" s="70" t="s">
        <v>22</v>
      </c>
      <c r="V179" s="68"/>
      <c r="W179" s="231"/>
      <c r="X179" s="113" t="s">
        <v>19</v>
      </c>
      <c r="Y179" s="58" t="s">
        <v>15</v>
      </c>
      <c r="Z179" s="177" t="s">
        <v>24</v>
      </c>
      <c r="AA179" s="70" t="s">
        <v>21</v>
      </c>
      <c r="AB179" s="236"/>
      <c r="AC179" s="236"/>
      <c r="AD179" s="236"/>
      <c r="AE179" s="70" t="s">
        <v>22</v>
      </c>
      <c r="AF179" s="68"/>
      <c r="AG179" s="231"/>
      <c r="AH179" s="113" t="s">
        <v>19</v>
      </c>
      <c r="AI179" s="58" t="s">
        <v>15</v>
      </c>
      <c r="AJ179" s="177" t="s">
        <v>24</v>
      </c>
      <c r="AK179" s="70" t="s">
        <v>21</v>
      </c>
      <c r="AL179" s="236"/>
      <c r="AM179" s="236"/>
      <c r="AN179" s="236"/>
      <c r="AO179" s="70" t="s">
        <v>22</v>
      </c>
      <c r="AP179" s="68"/>
    </row>
    <row r="180" spans="1:42" ht="28.5" customHeight="1" thickBot="1">
      <c r="B180" s="121">
        <v>0</v>
      </c>
      <c r="C180" s="231"/>
      <c r="D180" s="113" t="s">
        <v>19</v>
      </c>
      <c r="E180" s="58" t="s">
        <v>15</v>
      </c>
      <c r="F180" s="196" t="s">
        <v>16</v>
      </c>
      <c r="G180" s="140" t="s">
        <v>25</v>
      </c>
      <c r="H180" s="237" t="s">
        <v>26</v>
      </c>
      <c r="I180" s="238"/>
      <c r="J180" s="140" t="s">
        <v>27</v>
      </c>
      <c r="K180" s="237" t="s">
        <v>28</v>
      </c>
      <c r="L180" s="239"/>
      <c r="M180" s="231"/>
      <c r="N180" s="113" t="s">
        <v>19</v>
      </c>
      <c r="O180" s="58" t="s">
        <v>15</v>
      </c>
      <c r="P180" s="196" t="s">
        <v>16</v>
      </c>
      <c r="Q180" s="140" t="s">
        <v>25</v>
      </c>
      <c r="R180" s="237" t="s">
        <v>26</v>
      </c>
      <c r="S180" s="238"/>
      <c r="T180" s="140" t="s">
        <v>27</v>
      </c>
      <c r="U180" s="237" t="s">
        <v>28</v>
      </c>
      <c r="V180" s="239"/>
      <c r="W180" s="231"/>
      <c r="X180" s="113" t="s">
        <v>19</v>
      </c>
      <c r="Y180" s="58" t="s">
        <v>15</v>
      </c>
      <c r="Z180" s="196" t="s">
        <v>16</v>
      </c>
      <c r="AA180" s="140" t="s">
        <v>25</v>
      </c>
      <c r="AB180" s="237" t="s">
        <v>26</v>
      </c>
      <c r="AC180" s="238"/>
      <c r="AD180" s="140" t="s">
        <v>27</v>
      </c>
      <c r="AE180" s="237" t="s">
        <v>28</v>
      </c>
      <c r="AF180" s="239"/>
      <c r="AG180" s="231"/>
      <c r="AH180" s="113" t="s">
        <v>19</v>
      </c>
      <c r="AI180" s="58" t="s">
        <v>15</v>
      </c>
      <c r="AJ180" s="196" t="s">
        <v>16</v>
      </c>
      <c r="AK180" s="140" t="s">
        <v>25</v>
      </c>
      <c r="AL180" s="237" t="s">
        <v>26</v>
      </c>
      <c r="AM180" s="238"/>
      <c r="AN180" s="140" t="s">
        <v>27</v>
      </c>
      <c r="AO180" s="237" t="s">
        <v>28</v>
      </c>
      <c r="AP180" s="239"/>
    </row>
    <row r="181" spans="1:42" ht="28.5" customHeight="1" thickBot="1">
      <c r="B181" s="122" t="str">
        <f>VLOOKUP(B180,tablapermiso,3)</f>
        <v>Seleccione Gestion</v>
      </c>
      <c r="C181" s="232"/>
      <c r="D181" s="113" t="s">
        <v>19</v>
      </c>
      <c r="E181" s="58" t="s">
        <v>15</v>
      </c>
      <c r="F181" s="196" t="s">
        <v>19</v>
      </c>
      <c r="G181" s="141">
        <v>0</v>
      </c>
      <c r="H181" s="240" t="str">
        <f>VLOOKUP(G181,tablaestado,3)</f>
        <v>Seleccione Estado</v>
      </c>
      <c r="I181" s="240"/>
      <c r="J181" s="240"/>
      <c r="K181" s="240"/>
      <c r="L181" s="241"/>
      <c r="M181" s="232"/>
      <c r="N181" s="113" t="s">
        <v>19</v>
      </c>
      <c r="O181" s="58" t="s">
        <v>15</v>
      </c>
      <c r="P181" s="196" t="s">
        <v>19</v>
      </c>
      <c r="Q181" s="141">
        <v>0</v>
      </c>
      <c r="R181" s="240" t="str">
        <f>VLOOKUP(Q181,tablaestado,3)</f>
        <v>Seleccione Estado</v>
      </c>
      <c r="S181" s="240"/>
      <c r="T181" s="240"/>
      <c r="U181" s="240"/>
      <c r="V181" s="241"/>
      <c r="W181" s="232"/>
      <c r="X181" s="113" t="s">
        <v>19</v>
      </c>
      <c r="Y181" s="58" t="s">
        <v>15</v>
      </c>
      <c r="Z181" s="196" t="s">
        <v>19</v>
      </c>
      <c r="AA181" s="141">
        <v>0</v>
      </c>
      <c r="AB181" s="240" t="str">
        <f>VLOOKUP(AA181,tablaestado,3)</f>
        <v>Seleccione Estado</v>
      </c>
      <c r="AC181" s="240"/>
      <c r="AD181" s="240"/>
      <c r="AE181" s="240"/>
      <c r="AF181" s="241"/>
      <c r="AG181" s="232"/>
      <c r="AH181" s="113" t="s">
        <v>19</v>
      </c>
      <c r="AI181" s="58" t="s">
        <v>15</v>
      </c>
      <c r="AJ181" s="196" t="s">
        <v>19</v>
      </c>
      <c r="AK181" s="141">
        <v>0</v>
      </c>
      <c r="AL181" s="240" t="str">
        <f>VLOOKUP(AK181,tablaestado,3)</f>
        <v>Seleccione Estado</v>
      </c>
      <c r="AM181" s="240"/>
      <c r="AN181" s="240"/>
      <c r="AO181" s="240"/>
      <c r="AP181" s="241"/>
    </row>
    <row r="182" spans="1:42" ht="28.5" customHeight="1" thickBot="1">
      <c r="B182" s="251" t="s">
        <v>1</v>
      </c>
      <c r="C182" s="222" t="s">
        <v>2</v>
      </c>
      <c r="D182" s="112" t="s">
        <v>3</v>
      </c>
      <c r="E182" s="224" t="s">
        <v>4</v>
      </c>
      <c r="F182" s="225"/>
      <c r="G182" s="226" t="s">
        <v>5</v>
      </c>
      <c r="H182" s="227"/>
      <c r="I182" s="227"/>
      <c r="J182" s="227"/>
      <c r="K182" s="227"/>
      <c r="L182" s="228"/>
      <c r="M182" s="222" t="s">
        <v>2</v>
      </c>
      <c r="N182" s="112" t="s">
        <v>3</v>
      </c>
      <c r="O182" s="224" t="s">
        <v>4</v>
      </c>
      <c r="P182" s="225"/>
      <c r="Q182" s="226" t="s">
        <v>6</v>
      </c>
      <c r="R182" s="227"/>
      <c r="S182" s="227"/>
      <c r="T182" s="227"/>
      <c r="U182" s="227"/>
      <c r="V182" s="228"/>
      <c r="W182" s="222" t="s">
        <v>2</v>
      </c>
      <c r="X182" s="112" t="s">
        <v>3</v>
      </c>
      <c r="Y182" s="224" t="s">
        <v>4</v>
      </c>
      <c r="Z182" s="225"/>
      <c r="AA182" s="226" t="s">
        <v>7</v>
      </c>
      <c r="AB182" s="227"/>
      <c r="AC182" s="227"/>
      <c r="AD182" s="227"/>
      <c r="AE182" s="227"/>
      <c r="AF182" s="228"/>
      <c r="AG182" s="222" t="s">
        <v>2</v>
      </c>
      <c r="AH182" s="112" t="s">
        <v>3</v>
      </c>
      <c r="AI182" s="224" t="s">
        <v>4</v>
      </c>
      <c r="AJ182" s="225"/>
      <c r="AK182" s="226" t="s">
        <v>8</v>
      </c>
      <c r="AL182" s="227"/>
      <c r="AM182" s="227"/>
      <c r="AN182" s="227"/>
      <c r="AO182" s="227"/>
      <c r="AP182" s="228"/>
    </row>
    <row r="183" spans="1:42" ht="28.5" customHeight="1" thickBot="1">
      <c r="B183" s="252"/>
      <c r="C183" s="223"/>
      <c r="D183" s="199" t="s">
        <v>9</v>
      </c>
      <c r="E183" s="199" t="s">
        <v>10</v>
      </c>
      <c r="F183" s="112" t="s">
        <v>9</v>
      </c>
      <c r="G183" s="229" t="s">
        <v>11</v>
      </c>
      <c r="H183" s="229"/>
      <c r="I183" s="71" t="s">
        <v>12</v>
      </c>
      <c r="J183" s="147">
        <v>0</v>
      </c>
      <c r="K183" s="71" t="s">
        <v>13</v>
      </c>
      <c r="L183" s="148">
        <v>0</v>
      </c>
      <c r="M183" s="223"/>
      <c r="N183" s="199" t="s">
        <v>9</v>
      </c>
      <c r="O183" s="199" t="s">
        <v>10</v>
      </c>
      <c r="P183" s="112" t="s">
        <v>9</v>
      </c>
      <c r="Q183" s="229" t="s">
        <v>11</v>
      </c>
      <c r="R183" s="229"/>
      <c r="S183" s="71" t="s">
        <v>12</v>
      </c>
      <c r="T183" s="147">
        <v>0</v>
      </c>
      <c r="U183" s="71" t="s">
        <v>13</v>
      </c>
      <c r="V183" s="148">
        <v>0</v>
      </c>
      <c r="W183" s="223"/>
      <c r="X183" s="199" t="s">
        <v>9</v>
      </c>
      <c r="Y183" s="199" t="s">
        <v>10</v>
      </c>
      <c r="Z183" s="112" t="s">
        <v>9</v>
      </c>
      <c r="AA183" s="229" t="s">
        <v>11</v>
      </c>
      <c r="AB183" s="229"/>
      <c r="AC183" s="71" t="s">
        <v>12</v>
      </c>
      <c r="AD183" s="147">
        <v>0</v>
      </c>
      <c r="AE183" s="71" t="s">
        <v>13</v>
      </c>
      <c r="AF183" s="148">
        <v>0</v>
      </c>
      <c r="AG183" s="223"/>
      <c r="AH183" s="199" t="s">
        <v>9</v>
      </c>
      <c r="AI183" s="199" t="s">
        <v>10</v>
      </c>
      <c r="AJ183" s="112" t="s">
        <v>9</v>
      </c>
      <c r="AK183" s="229" t="s">
        <v>11</v>
      </c>
      <c r="AL183" s="229"/>
      <c r="AM183" s="71" t="s">
        <v>12</v>
      </c>
      <c r="AN183" s="147">
        <v>0</v>
      </c>
      <c r="AO183" s="71" t="s">
        <v>13</v>
      </c>
      <c r="AP183" s="148">
        <v>0</v>
      </c>
    </row>
    <row r="184" spans="1:42" ht="28.5" customHeight="1">
      <c r="A184" s="132"/>
      <c r="B184" s="58" t="s">
        <v>59</v>
      </c>
      <c r="C184" s="230"/>
      <c r="D184" s="113" t="s">
        <v>16</v>
      </c>
      <c r="E184" s="58" t="s">
        <v>15</v>
      </c>
      <c r="F184" s="195" t="s">
        <v>16</v>
      </c>
      <c r="G184" s="69" t="s">
        <v>17</v>
      </c>
      <c r="H184" s="233"/>
      <c r="I184" s="233"/>
      <c r="J184" s="233"/>
      <c r="K184" s="69" t="s">
        <v>18</v>
      </c>
      <c r="L184" s="72"/>
      <c r="M184" s="230"/>
      <c r="N184" s="113" t="s">
        <v>16</v>
      </c>
      <c r="O184" s="58" t="s">
        <v>15</v>
      </c>
      <c r="P184" s="195" t="s">
        <v>16</v>
      </c>
      <c r="Q184" s="69" t="s">
        <v>17</v>
      </c>
      <c r="R184" s="233"/>
      <c r="S184" s="233"/>
      <c r="T184" s="233"/>
      <c r="U184" s="69" t="s">
        <v>18</v>
      </c>
      <c r="V184" s="72"/>
      <c r="W184" s="230"/>
      <c r="X184" s="113" t="s">
        <v>16</v>
      </c>
      <c r="Y184" s="58" t="s">
        <v>15</v>
      </c>
      <c r="Z184" s="195" t="s">
        <v>16</v>
      </c>
      <c r="AA184" s="69" t="s">
        <v>17</v>
      </c>
      <c r="AB184" s="233"/>
      <c r="AC184" s="233"/>
      <c r="AD184" s="233"/>
      <c r="AE184" s="69" t="s">
        <v>18</v>
      </c>
      <c r="AF184" s="72"/>
      <c r="AG184" s="230"/>
      <c r="AH184" s="113" t="s">
        <v>16</v>
      </c>
      <c r="AI184" s="58" t="s">
        <v>15</v>
      </c>
      <c r="AJ184" s="195" t="s">
        <v>16</v>
      </c>
      <c r="AK184" s="69" t="s">
        <v>17</v>
      </c>
      <c r="AL184" s="233"/>
      <c r="AM184" s="233"/>
      <c r="AN184" s="233"/>
      <c r="AO184" s="69" t="s">
        <v>18</v>
      </c>
      <c r="AP184" s="72"/>
    </row>
    <row r="185" spans="1:42" ht="28.5" customHeight="1">
      <c r="B185" s="114" t="str">
        <f>VLOOKUP(B184,tablaequipo,4)</f>
        <v>Grua</v>
      </c>
      <c r="C185" s="231"/>
      <c r="D185" s="113" t="s">
        <v>19</v>
      </c>
      <c r="E185" s="58" t="s">
        <v>15</v>
      </c>
      <c r="F185" s="195" t="s">
        <v>19</v>
      </c>
      <c r="G185" s="146" t="s">
        <v>20</v>
      </c>
      <c r="H185" s="234"/>
      <c r="I185" s="234"/>
      <c r="J185" s="234"/>
      <c r="K185" s="234"/>
      <c r="L185" s="235"/>
      <c r="M185" s="231"/>
      <c r="N185" s="113" t="s">
        <v>19</v>
      </c>
      <c r="O185" s="58" t="s">
        <v>15</v>
      </c>
      <c r="P185" s="195" t="s">
        <v>19</v>
      </c>
      <c r="Q185" s="146" t="s">
        <v>20</v>
      </c>
      <c r="R185" s="234"/>
      <c r="S185" s="234"/>
      <c r="T185" s="234"/>
      <c r="U185" s="234"/>
      <c r="V185" s="235"/>
      <c r="W185" s="231"/>
      <c r="X185" s="113" t="s">
        <v>19</v>
      </c>
      <c r="Y185" s="58" t="s">
        <v>15</v>
      </c>
      <c r="Z185" s="195" t="s">
        <v>19</v>
      </c>
      <c r="AA185" s="146" t="s">
        <v>20</v>
      </c>
      <c r="AB185" s="234"/>
      <c r="AC185" s="234"/>
      <c r="AD185" s="234"/>
      <c r="AE185" s="234"/>
      <c r="AF185" s="235"/>
      <c r="AG185" s="231"/>
      <c r="AH185" s="113" t="s">
        <v>19</v>
      </c>
      <c r="AI185" s="58" t="s">
        <v>15</v>
      </c>
      <c r="AJ185" s="195" t="s">
        <v>19</v>
      </c>
      <c r="AK185" s="146" t="s">
        <v>20</v>
      </c>
      <c r="AL185" s="234"/>
      <c r="AM185" s="234"/>
      <c r="AN185" s="234"/>
      <c r="AO185" s="234"/>
      <c r="AP185" s="235"/>
    </row>
    <row r="186" spans="1:42" ht="28.5" customHeight="1">
      <c r="B186" s="114" t="str">
        <f>VLOOKUP(B184,tablaequipo,6)</f>
        <v>LIEBHERR</v>
      </c>
      <c r="C186" s="231"/>
      <c r="D186" s="113" t="s">
        <v>19</v>
      </c>
      <c r="E186" s="58" t="s">
        <v>15</v>
      </c>
      <c r="F186" s="195" t="s">
        <v>19</v>
      </c>
      <c r="G186" s="70" t="s">
        <v>21</v>
      </c>
      <c r="H186" s="236"/>
      <c r="I186" s="236"/>
      <c r="J186" s="236"/>
      <c r="K186" s="70" t="s">
        <v>22</v>
      </c>
      <c r="L186" s="68"/>
      <c r="M186" s="231"/>
      <c r="N186" s="113" t="s">
        <v>19</v>
      </c>
      <c r="O186" s="58" t="s">
        <v>15</v>
      </c>
      <c r="P186" s="195" t="s">
        <v>19</v>
      </c>
      <c r="Q186" s="70" t="s">
        <v>21</v>
      </c>
      <c r="R186" s="236"/>
      <c r="S186" s="236"/>
      <c r="T186" s="236"/>
      <c r="U186" s="70" t="s">
        <v>22</v>
      </c>
      <c r="V186" s="68"/>
      <c r="W186" s="231"/>
      <c r="X186" s="113" t="s">
        <v>19</v>
      </c>
      <c r="Y186" s="58" t="s">
        <v>15</v>
      </c>
      <c r="Z186" s="195" t="s">
        <v>19</v>
      </c>
      <c r="AA186" s="70" t="s">
        <v>21</v>
      </c>
      <c r="AB186" s="236"/>
      <c r="AC186" s="236"/>
      <c r="AD186" s="236"/>
      <c r="AE186" s="70" t="s">
        <v>22</v>
      </c>
      <c r="AF186" s="68"/>
      <c r="AG186" s="231"/>
      <c r="AH186" s="113" t="s">
        <v>19</v>
      </c>
      <c r="AI186" s="58" t="s">
        <v>15</v>
      </c>
      <c r="AJ186" s="195" t="s">
        <v>19</v>
      </c>
      <c r="AK186" s="70" t="s">
        <v>21</v>
      </c>
      <c r="AL186" s="236"/>
      <c r="AM186" s="236"/>
      <c r="AN186" s="236"/>
      <c r="AO186" s="70" t="s">
        <v>22</v>
      </c>
      <c r="AP186" s="68"/>
    </row>
    <row r="187" spans="1:42" ht="28.5" customHeight="1" thickBot="1">
      <c r="B187" s="114" t="str">
        <f>VLOOKUP(B184,tablaequipo,7)</f>
        <v>LTM 1090</v>
      </c>
      <c r="C187" s="231"/>
      <c r="D187" s="113" t="s">
        <v>19</v>
      </c>
      <c r="E187" s="58" t="s">
        <v>15</v>
      </c>
      <c r="F187" s="195" t="s">
        <v>19</v>
      </c>
      <c r="G187" s="146" t="s">
        <v>23</v>
      </c>
      <c r="H187" s="234"/>
      <c r="I187" s="234"/>
      <c r="J187" s="234"/>
      <c r="K187" s="234"/>
      <c r="L187" s="235"/>
      <c r="M187" s="231"/>
      <c r="N187" s="113" t="s">
        <v>19</v>
      </c>
      <c r="O187" s="58" t="s">
        <v>15</v>
      </c>
      <c r="P187" s="195" t="s">
        <v>19</v>
      </c>
      <c r="Q187" s="146" t="s">
        <v>23</v>
      </c>
      <c r="R187" s="234"/>
      <c r="S187" s="234"/>
      <c r="T187" s="234"/>
      <c r="U187" s="234"/>
      <c r="V187" s="235"/>
      <c r="W187" s="231"/>
      <c r="X187" s="113" t="s">
        <v>19</v>
      </c>
      <c r="Y187" s="58" t="s">
        <v>15</v>
      </c>
      <c r="Z187" s="195" t="s">
        <v>19</v>
      </c>
      <c r="AA187" s="146" t="s">
        <v>23</v>
      </c>
      <c r="AB187" s="234"/>
      <c r="AC187" s="234"/>
      <c r="AD187" s="234"/>
      <c r="AE187" s="234"/>
      <c r="AF187" s="235"/>
      <c r="AG187" s="231"/>
      <c r="AH187" s="113" t="s">
        <v>19</v>
      </c>
      <c r="AI187" s="58" t="s">
        <v>15</v>
      </c>
      <c r="AJ187" s="195" t="s">
        <v>19</v>
      </c>
      <c r="AK187" s="146" t="s">
        <v>23</v>
      </c>
      <c r="AL187" s="234"/>
      <c r="AM187" s="234"/>
      <c r="AN187" s="234"/>
      <c r="AO187" s="234"/>
      <c r="AP187" s="235"/>
    </row>
    <row r="188" spans="1:42" ht="28.5" customHeight="1" thickBot="1">
      <c r="B188" s="114" t="str">
        <f>VLOOKUP(B184,tablaequipo,8)</f>
        <v>AG897CT</v>
      </c>
      <c r="C188" s="231"/>
      <c r="D188" s="113" t="s">
        <v>19</v>
      </c>
      <c r="E188" s="58" t="s">
        <v>15</v>
      </c>
      <c r="F188" s="177" t="s">
        <v>24</v>
      </c>
      <c r="G188" s="70" t="s">
        <v>21</v>
      </c>
      <c r="H188" s="236"/>
      <c r="I188" s="236"/>
      <c r="J188" s="236"/>
      <c r="K188" s="70" t="s">
        <v>22</v>
      </c>
      <c r="L188" s="68"/>
      <c r="M188" s="231"/>
      <c r="N188" s="113" t="s">
        <v>19</v>
      </c>
      <c r="O188" s="58" t="s">
        <v>15</v>
      </c>
      <c r="P188" s="177" t="s">
        <v>24</v>
      </c>
      <c r="Q188" s="70" t="s">
        <v>21</v>
      </c>
      <c r="R188" s="236"/>
      <c r="S188" s="236"/>
      <c r="T188" s="236"/>
      <c r="U188" s="70" t="s">
        <v>22</v>
      </c>
      <c r="V188" s="68"/>
      <c r="W188" s="231"/>
      <c r="X188" s="113" t="s">
        <v>19</v>
      </c>
      <c r="Y188" s="58" t="s">
        <v>15</v>
      </c>
      <c r="Z188" s="177" t="s">
        <v>24</v>
      </c>
      <c r="AA188" s="70" t="s">
        <v>21</v>
      </c>
      <c r="AB188" s="236"/>
      <c r="AC188" s="236"/>
      <c r="AD188" s="236"/>
      <c r="AE188" s="70" t="s">
        <v>22</v>
      </c>
      <c r="AF188" s="68"/>
      <c r="AG188" s="231"/>
      <c r="AH188" s="113" t="s">
        <v>19</v>
      </c>
      <c r="AI188" s="58" t="s">
        <v>15</v>
      </c>
      <c r="AJ188" s="177" t="s">
        <v>24</v>
      </c>
      <c r="AK188" s="70" t="s">
        <v>21</v>
      </c>
      <c r="AL188" s="236"/>
      <c r="AM188" s="236"/>
      <c r="AN188" s="236"/>
      <c r="AO188" s="70" t="s">
        <v>22</v>
      </c>
      <c r="AP188" s="68"/>
    </row>
    <row r="189" spans="1:42" ht="28.5" customHeight="1" thickBot="1">
      <c r="B189" s="121">
        <v>0</v>
      </c>
      <c r="C189" s="231"/>
      <c r="D189" s="113" t="s">
        <v>19</v>
      </c>
      <c r="E189" s="58" t="s">
        <v>15</v>
      </c>
      <c r="F189" s="196" t="s">
        <v>16</v>
      </c>
      <c r="G189" s="140" t="s">
        <v>25</v>
      </c>
      <c r="H189" s="237" t="s">
        <v>26</v>
      </c>
      <c r="I189" s="238"/>
      <c r="J189" s="140" t="s">
        <v>27</v>
      </c>
      <c r="K189" s="237" t="s">
        <v>28</v>
      </c>
      <c r="L189" s="239"/>
      <c r="M189" s="231"/>
      <c r="N189" s="113" t="s">
        <v>19</v>
      </c>
      <c r="O189" s="58" t="s">
        <v>15</v>
      </c>
      <c r="P189" s="196" t="s">
        <v>16</v>
      </c>
      <c r="Q189" s="140" t="s">
        <v>25</v>
      </c>
      <c r="R189" s="237" t="s">
        <v>26</v>
      </c>
      <c r="S189" s="238"/>
      <c r="T189" s="140" t="s">
        <v>27</v>
      </c>
      <c r="U189" s="237" t="s">
        <v>28</v>
      </c>
      <c r="V189" s="239"/>
      <c r="W189" s="231"/>
      <c r="X189" s="113" t="s">
        <v>19</v>
      </c>
      <c r="Y189" s="58" t="s">
        <v>15</v>
      </c>
      <c r="Z189" s="196" t="s">
        <v>16</v>
      </c>
      <c r="AA189" s="140" t="s">
        <v>25</v>
      </c>
      <c r="AB189" s="237" t="s">
        <v>26</v>
      </c>
      <c r="AC189" s="238"/>
      <c r="AD189" s="140" t="s">
        <v>27</v>
      </c>
      <c r="AE189" s="237" t="s">
        <v>28</v>
      </c>
      <c r="AF189" s="239"/>
      <c r="AG189" s="231"/>
      <c r="AH189" s="113" t="s">
        <v>19</v>
      </c>
      <c r="AI189" s="58" t="s">
        <v>15</v>
      </c>
      <c r="AJ189" s="196" t="s">
        <v>16</v>
      </c>
      <c r="AK189" s="140" t="s">
        <v>25</v>
      </c>
      <c r="AL189" s="237" t="s">
        <v>26</v>
      </c>
      <c r="AM189" s="238"/>
      <c r="AN189" s="140" t="s">
        <v>27</v>
      </c>
      <c r="AO189" s="237" t="s">
        <v>28</v>
      </c>
      <c r="AP189" s="239"/>
    </row>
    <row r="190" spans="1:42" ht="28.5" customHeight="1" thickBot="1">
      <c r="B190" s="122" t="str">
        <f>VLOOKUP(B189,tablapermiso,3)</f>
        <v>Seleccione Gestion</v>
      </c>
      <c r="C190" s="232"/>
      <c r="D190" s="113" t="s">
        <v>19</v>
      </c>
      <c r="E190" s="58" t="s">
        <v>15</v>
      </c>
      <c r="F190" s="196" t="s">
        <v>19</v>
      </c>
      <c r="G190" s="141">
        <v>0</v>
      </c>
      <c r="H190" s="240" t="str">
        <f>VLOOKUP(G190,tablaestado,3)</f>
        <v>Seleccione Estado</v>
      </c>
      <c r="I190" s="240"/>
      <c r="J190" s="240"/>
      <c r="K190" s="240"/>
      <c r="L190" s="241"/>
      <c r="M190" s="232"/>
      <c r="N190" s="113" t="s">
        <v>19</v>
      </c>
      <c r="O190" s="58" t="s">
        <v>15</v>
      </c>
      <c r="P190" s="196" t="s">
        <v>19</v>
      </c>
      <c r="Q190" s="141">
        <v>0</v>
      </c>
      <c r="R190" s="240" t="str">
        <f>VLOOKUP(Q190,tablaestado,3)</f>
        <v>Seleccione Estado</v>
      </c>
      <c r="S190" s="240"/>
      <c r="T190" s="240"/>
      <c r="U190" s="240"/>
      <c r="V190" s="241"/>
      <c r="W190" s="232"/>
      <c r="X190" s="113" t="s">
        <v>19</v>
      </c>
      <c r="Y190" s="58" t="s">
        <v>15</v>
      </c>
      <c r="Z190" s="196" t="s">
        <v>19</v>
      </c>
      <c r="AA190" s="141">
        <v>0</v>
      </c>
      <c r="AB190" s="240" t="str">
        <f>VLOOKUP(AA190,tablaestado,3)</f>
        <v>Seleccione Estado</v>
      </c>
      <c r="AC190" s="240"/>
      <c r="AD190" s="240"/>
      <c r="AE190" s="240"/>
      <c r="AF190" s="241"/>
      <c r="AG190" s="232"/>
      <c r="AH190" s="113" t="s">
        <v>19</v>
      </c>
      <c r="AI190" s="58" t="s">
        <v>15</v>
      </c>
      <c r="AJ190" s="196" t="s">
        <v>19</v>
      </c>
      <c r="AK190" s="141">
        <v>0</v>
      </c>
      <c r="AL190" s="240" t="str">
        <f>VLOOKUP(AK190,tablaestado,3)</f>
        <v>Seleccione Estado</v>
      </c>
      <c r="AM190" s="240"/>
      <c r="AN190" s="240"/>
      <c r="AO190" s="240"/>
      <c r="AP190" s="241"/>
    </row>
    <row r="191" spans="1:42" ht="28.5" customHeight="1" thickBot="1">
      <c r="B191" s="251" t="s">
        <v>1</v>
      </c>
      <c r="C191" s="222" t="s">
        <v>2</v>
      </c>
      <c r="D191" s="112" t="s">
        <v>3</v>
      </c>
      <c r="E191" s="224" t="s">
        <v>4</v>
      </c>
      <c r="F191" s="225"/>
      <c r="G191" s="226" t="s">
        <v>5</v>
      </c>
      <c r="H191" s="227"/>
      <c r="I191" s="227"/>
      <c r="J191" s="227"/>
      <c r="K191" s="227"/>
      <c r="L191" s="228"/>
      <c r="M191" s="222" t="s">
        <v>2</v>
      </c>
      <c r="N191" s="112" t="s">
        <v>3</v>
      </c>
      <c r="O191" s="224" t="s">
        <v>4</v>
      </c>
      <c r="P191" s="225"/>
      <c r="Q191" s="226" t="s">
        <v>6</v>
      </c>
      <c r="R191" s="227"/>
      <c r="S191" s="227"/>
      <c r="T191" s="227"/>
      <c r="U191" s="227"/>
      <c r="V191" s="228"/>
      <c r="W191" s="222" t="s">
        <v>2</v>
      </c>
      <c r="X191" s="112" t="s">
        <v>3</v>
      </c>
      <c r="Y191" s="224" t="s">
        <v>4</v>
      </c>
      <c r="Z191" s="225"/>
      <c r="AA191" s="226" t="s">
        <v>7</v>
      </c>
      <c r="AB191" s="227"/>
      <c r="AC191" s="227"/>
      <c r="AD191" s="227"/>
      <c r="AE191" s="227"/>
      <c r="AF191" s="228"/>
      <c r="AG191" s="222" t="s">
        <v>2</v>
      </c>
      <c r="AH191" s="112" t="s">
        <v>3</v>
      </c>
      <c r="AI191" s="224" t="s">
        <v>4</v>
      </c>
      <c r="AJ191" s="225"/>
      <c r="AK191" s="226" t="s">
        <v>8</v>
      </c>
      <c r="AL191" s="227"/>
      <c r="AM191" s="227"/>
      <c r="AN191" s="227"/>
      <c r="AO191" s="227"/>
      <c r="AP191" s="228"/>
    </row>
    <row r="192" spans="1:42" ht="28.5" customHeight="1" thickBot="1">
      <c r="B192" s="252"/>
      <c r="C192" s="223"/>
      <c r="D192" s="199" t="s">
        <v>9</v>
      </c>
      <c r="E192" s="199" t="s">
        <v>10</v>
      </c>
      <c r="F192" s="112" t="s">
        <v>9</v>
      </c>
      <c r="G192" s="229" t="s">
        <v>11</v>
      </c>
      <c r="H192" s="229"/>
      <c r="I192" s="71" t="s">
        <v>12</v>
      </c>
      <c r="J192" s="147">
        <v>0</v>
      </c>
      <c r="K192" s="71" t="s">
        <v>13</v>
      </c>
      <c r="L192" s="148">
        <v>0</v>
      </c>
      <c r="M192" s="223"/>
      <c r="N192" s="199" t="s">
        <v>9</v>
      </c>
      <c r="O192" s="199" t="s">
        <v>10</v>
      </c>
      <c r="P192" s="112" t="s">
        <v>9</v>
      </c>
      <c r="Q192" s="229" t="s">
        <v>11</v>
      </c>
      <c r="R192" s="229"/>
      <c r="S192" s="71" t="s">
        <v>12</v>
      </c>
      <c r="T192" s="147">
        <v>0</v>
      </c>
      <c r="U192" s="71" t="s">
        <v>13</v>
      </c>
      <c r="V192" s="148">
        <v>0</v>
      </c>
      <c r="W192" s="223"/>
      <c r="X192" s="199" t="s">
        <v>9</v>
      </c>
      <c r="Y192" s="199" t="s">
        <v>10</v>
      </c>
      <c r="Z192" s="112" t="s">
        <v>9</v>
      </c>
      <c r="AA192" s="229" t="s">
        <v>11</v>
      </c>
      <c r="AB192" s="229"/>
      <c r="AC192" s="71" t="s">
        <v>12</v>
      </c>
      <c r="AD192" s="147">
        <v>0</v>
      </c>
      <c r="AE192" s="71" t="s">
        <v>13</v>
      </c>
      <c r="AF192" s="148">
        <v>0</v>
      </c>
      <c r="AG192" s="223"/>
      <c r="AH192" s="199" t="s">
        <v>9</v>
      </c>
      <c r="AI192" s="199" t="s">
        <v>10</v>
      </c>
      <c r="AJ192" s="112" t="s">
        <v>9</v>
      </c>
      <c r="AK192" s="229" t="s">
        <v>11</v>
      </c>
      <c r="AL192" s="229"/>
      <c r="AM192" s="71" t="s">
        <v>12</v>
      </c>
      <c r="AN192" s="147">
        <v>0</v>
      </c>
      <c r="AO192" s="71" t="s">
        <v>13</v>
      </c>
      <c r="AP192" s="148">
        <v>0</v>
      </c>
    </row>
    <row r="193" spans="1:42" ht="28.5" customHeight="1">
      <c r="A193" s="132"/>
      <c r="B193" s="58" t="s">
        <v>60</v>
      </c>
      <c r="C193" s="230"/>
      <c r="D193" s="113"/>
      <c r="E193" s="58" t="s">
        <v>15</v>
      </c>
      <c r="F193" s="195" t="s">
        <v>16</v>
      </c>
      <c r="G193" s="69" t="s">
        <v>17</v>
      </c>
      <c r="H193" s="233"/>
      <c r="I193" s="233"/>
      <c r="J193" s="233"/>
      <c r="K193" s="69" t="s">
        <v>18</v>
      </c>
      <c r="L193" s="72"/>
      <c r="M193" s="230"/>
      <c r="N193" s="113" t="s">
        <v>16</v>
      </c>
      <c r="O193" s="58" t="s">
        <v>15</v>
      </c>
      <c r="P193" s="195" t="s">
        <v>16</v>
      </c>
      <c r="Q193" s="69" t="s">
        <v>17</v>
      </c>
      <c r="R193" s="233"/>
      <c r="S193" s="233"/>
      <c r="T193" s="233"/>
      <c r="U193" s="69" t="s">
        <v>18</v>
      </c>
      <c r="V193" s="72"/>
      <c r="W193" s="230"/>
      <c r="X193" s="113" t="s">
        <v>16</v>
      </c>
      <c r="Y193" s="58" t="s">
        <v>15</v>
      </c>
      <c r="Z193" s="195" t="s">
        <v>16</v>
      </c>
      <c r="AA193" s="69" t="s">
        <v>17</v>
      </c>
      <c r="AB193" s="233"/>
      <c r="AC193" s="233"/>
      <c r="AD193" s="233"/>
      <c r="AE193" s="69" t="s">
        <v>18</v>
      </c>
      <c r="AF193" s="72"/>
      <c r="AG193" s="230"/>
      <c r="AH193" s="113" t="s">
        <v>16</v>
      </c>
      <c r="AI193" s="58" t="s">
        <v>15</v>
      </c>
      <c r="AJ193" s="195" t="s">
        <v>16</v>
      </c>
      <c r="AK193" s="69" t="s">
        <v>17</v>
      </c>
      <c r="AL193" s="233"/>
      <c r="AM193" s="233"/>
      <c r="AN193" s="233"/>
      <c r="AO193" s="69" t="s">
        <v>18</v>
      </c>
      <c r="AP193" s="72"/>
    </row>
    <row r="194" spans="1:42" ht="28.5" customHeight="1">
      <c r="B194" s="114" t="str">
        <f>VLOOKUP(B193,tablaequipo,4)</f>
        <v>Grua</v>
      </c>
      <c r="C194" s="231"/>
      <c r="D194" s="113"/>
      <c r="E194" s="58" t="s">
        <v>15</v>
      </c>
      <c r="F194" s="195" t="s">
        <v>19</v>
      </c>
      <c r="G194" s="146" t="s">
        <v>20</v>
      </c>
      <c r="H194" s="234"/>
      <c r="I194" s="234"/>
      <c r="J194" s="234"/>
      <c r="K194" s="234"/>
      <c r="L194" s="235"/>
      <c r="M194" s="231"/>
      <c r="N194" s="113" t="s">
        <v>19</v>
      </c>
      <c r="O194" s="58" t="s">
        <v>15</v>
      </c>
      <c r="P194" s="195" t="s">
        <v>19</v>
      </c>
      <c r="Q194" s="146" t="s">
        <v>20</v>
      </c>
      <c r="R194" s="234"/>
      <c r="S194" s="234"/>
      <c r="T194" s="234"/>
      <c r="U194" s="234"/>
      <c r="V194" s="235"/>
      <c r="W194" s="231"/>
      <c r="X194" s="113" t="s">
        <v>19</v>
      </c>
      <c r="Y194" s="58" t="s">
        <v>15</v>
      </c>
      <c r="Z194" s="195" t="s">
        <v>19</v>
      </c>
      <c r="AA194" s="146" t="s">
        <v>20</v>
      </c>
      <c r="AB194" s="234"/>
      <c r="AC194" s="234"/>
      <c r="AD194" s="234"/>
      <c r="AE194" s="234"/>
      <c r="AF194" s="235"/>
      <c r="AG194" s="231"/>
      <c r="AH194" s="113" t="s">
        <v>19</v>
      </c>
      <c r="AI194" s="58" t="s">
        <v>15</v>
      </c>
      <c r="AJ194" s="195" t="s">
        <v>19</v>
      </c>
      <c r="AK194" s="146" t="s">
        <v>20</v>
      </c>
      <c r="AL194" s="234"/>
      <c r="AM194" s="234"/>
      <c r="AN194" s="234"/>
      <c r="AO194" s="234"/>
      <c r="AP194" s="235"/>
    </row>
    <row r="195" spans="1:42" ht="28.5" customHeight="1">
      <c r="B195" s="114" t="str">
        <f>VLOOKUP(B193,tablaequipo,6)</f>
        <v>LIEBHERR</v>
      </c>
      <c r="C195" s="231"/>
      <c r="D195" s="113"/>
      <c r="E195" s="58" t="s">
        <v>15</v>
      </c>
      <c r="F195" s="195" t="s">
        <v>19</v>
      </c>
      <c r="G195" s="70" t="s">
        <v>21</v>
      </c>
      <c r="H195" s="236"/>
      <c r="I195" s="236"/>
      <c r="J195" s="236"/>
      <c r="K195" s="70" t="s">
        <v>22</v>
      </c>
      <c r="L195" s="68"/>
      <c r="M195" s="231"/>
      <c r="N195" s="113" t="s">
        <v>19</v>
      </c>
      <c r="O195" s="58" t="s">
        <v>15</v>
      </c>
      <c r="P195" s="195" t="s">
        <v>19</v>
      </c>
      <c r="Q195" s="70" t="s">
        <v>21</v>
      </c>
      <c r="R195" s="236"/>
      <c r="S195" s="236"/>
      <c r="T195" s="236"/>
      <c r="U195" s="70" t="s">
        <v>22</v>
      </c>
      <c r="V195" s="68"/>
      <c r="W195" s="231"/>
      <c r="X195" s="113" t="s">
        <v>19</v>
      </c>
      <c r="Y195" s="58" t="s">
        <v>15</v>
      </c>
      <c r="Z195" s="195" t="s">
        <v>19</v>
      </c>
      <c r="AA195" s="70" t="s">
        <v>21</v>
      </c>
      <c r="AB195" s="236"/>
      <c r="AC195" s="236"/>
      <c r="AD195" s="236"/>
      <c r="AE195" s="70" t="s">
        <v>22</v>
      </c>
      <c r="AF195" s="68"/>
      <c r="AG195" s="231"/>
      <c r="AH195" s="113" t="s">
        <v>19</v>
      </c>
      <c r="AI195" s="58" t="s">
        <v>15</v>
      </c>
      <c r="AJ195" s="195" t="s">
        <v>19</v>
      </c>
      <c r="AK195" s="70" t="s">
        <v>21</v>
      </c>
      <c r="AL195" s="236"/>
      <c r="AM195" s="236"/>
      <c r="AN195" s="236"/>
      <c r="AO195" s="70" t="s">
        <v>22</v>
      </c>
      <c r="AP195" s="68"/>
    </row>
    <row r="196" spans="1:42" ht="28.5" customHeight="1" thickBot="1">
      <c r="B196" s="114" t="str">
        <f>VLOOKUP(B193,tablaequipo,7)</f>
        <v>LTM 1100</v>
      </c>
      <c r="C196" s="231"/>
      <c r="D196" s="113"/>
      <c r="E196" s="58" t="s">
        <v>15</v>
      </c>
      <c r="F196" s="195" t="s">
        <v>19</v>
      </c>
      <c r="G196" s="146" t="s">
        <v>23</v>
      </c>
      <c r="H196" s="234"/>
      <c r="I196" s="234"/>
      <c r="J196" s="234"/>
      <c r="K196" s="234"/>
      <c r="L196" s="235"/>
      <c r="M196" s="231"/>
      <c r="N196" s="113" t="s">
        <v>19</v>
      </c>
      <c r="O196" s="58" t="s">
        <v>15</v>
      </c>
      <c r="P196" s="195" t="s">
        <v>19</v>
      </c>
      <c r="Q196" s="146" t="s">
        <v>23</v>
      </c>
      <c r="R196" s="234"/>
      <c r="S196" s="234"/>
      <c r="T196" s="234"/>
      <c r="U196" s="234"/>
      <c r="V196" s="235"/>
      <c r="W196" s="231"/>
      <c r="X196" s="113" t="s">
        <v>19</v>
      </c>
      <c r="Y196" s="58" t="s">
        <v>15</v>
      </c>
      <c r="Z196" s="195" t="s">
        <v>19</v>
      </c>
      <c r="AA196" s="146" t="s">
        <v>23</v>
      </c>
      <c r="AB196" s="234"/>
      <c r="AC196" s="234"/>
      <c r="AD196" s="234"/>
      <c r="AE196" s="234"/>
      <c r="AF196" s="235"/>
      <c r="AG196" s="231"/>
      <c r="AH196" s="113" t="s">
        <v>19</v>
      </c>
      <c r="AI196" s="58" t="s">
        <v>15</v>
      </c>
      <c r="AJ196" s="195" t="s">
        <v>19</v>
      </c>
      <c r="AK196" s="146" t="s">
        <v>23</v>
      </c>
      <c r="AL196" s="234"/>
      <c r="AM196" s="234"/>
      <c r="AN196" s="234"/>
      <c r="AO196" s="234"/>
      <c r="AP196" s="235"/>
    </row>
    <row r="197" spans="1:42" ht="28.5" customHeight="1" thickBot="1">
      <c r="B197" s="114">
        <f>VLOOKUP(B193,tablaequipo,8)</f>
        <v>0</v>
      </c>
      <c r="C197" s="231"/>
      <c r="D197" s="113"/>
      <c r="E197" s="58" t="s">
        <v>15</v>
      </c>
      <c r="F197" s="177" t="s">
        <v>24</v>
      </c>
      <c r="G197" s="70" t="s">
        <v>21</v>
      </c>
      <c r="H197" s="236"/>
      <c r="I197" s="236"/>
      <c r="J197" s="236"/>
      <c r="K197" s="70" t="s">
        <v>22</v>
      </c>
      <c r="L197" s="68"/>
      <c r="M197" s="231"/>
      <c r="N197" s="113" t="s">
        <v>19</v>
      </c>
      <c r="O197" s="58" t="s">
        <v>15</v>
      </c>
      <c r="P197" s="177" t="s">
        <v>24</v>
      </c>
      <c r="Q197" s="70" t="s">
        <v>21</v>
      </c>
      <c r="R197" s="236"/>
      <c r="S197" s="236"/>
      <c r="T197" s="236"/>
      <c r="U197" s="70" t="s">
        <v>22</v>
      </c>
      <c r="V197" s="68"/>
      <c r="W197" s="231"/>
      <c r="X197" s="113" t="s">
        <v>19</v>
      </c>
      <c r="Y197" s="58" t="s">
        <v>15</v>
      </c>
      <c r="Z197" s="177" t="s">
        <v>24</v>
      </c>
      <c r="AA197" s="70" t="s">
        <v>21</v>
      </c>
      <c r="AB197" s="236"/>
      <c r="AC197" s="236"/>
      <c r="AD197" s="236"/>
      <c r="AE197" s="70" t="s">
        <v>22</v>
      </c>
      <c r="AF197" s="68"/>
      <c r="AG197" s="231"/>
      <c r="AH197" s="113" t="s">
        <v>19</v>
      </c>
      <c r="AI197" s="58" t="s">
        <v>15</v>
      </c>
      <c r="AJ197" s="177" t="s">
        <v>24</v>
      </c>
      <c r="AK197" s="70" t="s">
        <v>21</v>
      </c>
      <c r="AL197" s="236"/>
      <c r="AM197" s="236"/>
      <c r="AN197" s="236"/>
      <c r="AO197" s="70" t="s">
        <v>22</v>
      </c>
      <c r="AP197" s="68"/>
    </row>
    <row r="198" spans="1:42" ht="28.5" customHeight="1" thickBot="1">
      <c r="B198" s="121">
        <v>0</v>
      </c>
      <c r="C198" s="231"/>
      <c r="D198" s="113"/>
      <c r="E198" s="58" t="s">
        <v>15</v>
      </c>
      <c r="F198" s="196" t="s">
        <v>16</v>
      </c>
      <c r="G198" s="140" t="s">
        <v>25</v>
      </c>
      <c r="H198" s="237" t="s">
        <v>26</v>
      </c>
      <c r="I198" s="238"/>
      <c r="J198" s="140" t="s">
        <v>27</v>
      </c>
      <c r="K198" s="237" t="s">
        <v>28</v>
      </c>
      <c r="L198" s="239"/>
      <c r="M198" s="231"/>
      <c r="N198" s="113" t="s">
        <v>19</v>
      </c>
      <c r="O198" s="58" t="s">
        <v>15</v>
      </c>
      <c r="P198" s="196" t="s">
        <v>16</v>
      </c>
      <c r="Q198" s="140" t="s">
        <v>25</v>
      </c>
      <c r="R198" s="237" t="s">
        <v>26</v>
      </c>
      <c r="S198" s="238"/>
      <c r="T198" s="140" t="s">
        <v>27</v>
      </c>
      <c r="U198" s="237" t="s">
        <v>28</v>
      </c>
      <c r="V198" s="239"/>
      <c r="W198" s="231"/>
      <c r="X198" s="113" t="s">
        <v>19</v>
      </c>
      <c r="Y198" s="58" t="s">
        <v>15</v>
      </c>
      <c r="Z198" s="196" t="s">
        <v>16</v>
      </c>
      <c r="AA198" s="140" t="s">
        <v>25</v>
      </c>
      <c r="AB198" s="237" t="s">
        <v>26</v>
      </c>
      <c r="AC198" s="238"/>
      <c r="AD198" s="140" t="s">
        <v>27</v>
      </c>
      <c r="AE198" s="237" t="s">
        <v>28</v>
      </c>
      <c r="AF198" s="239"/>
      <c r="AG198" s="231"/>
      <c r="AH198" s="113" t="s">
        <v>19</v>
      </c>
      <c r="AI198" s="58" t="s">
        <v>15</v>
      </c>
      <c r="AJ198" s="196" t="s">
        <v>16</v>
      </c>
      <c r="AK198" s="140" t="s">
        <v>25</v>
      </c>
      <c r="AL198" s="237" t="s">
        <v>26</v>
      </c>
      <c r="AM198" s="238"/>
      <c r="AN198" s="140" t="s">
        <v>27</v>
      </c>
      <c r="AO198" s="237" t="s">
        <v>28</v>
      </c>
      <c r="AP198" s="239"/>
    </row>
    <row r="199" spans="1:42" ht="28.5" customHeight="1" thickBot="1">
      <c r="B199" s="122" t="str">
        <f>VLOOKUP(B198,tablapermiso,3)</f>
        <v>Seleccione Gestion</v>
      </c>
      <c r="C199" s="232"/>
      <c r="D199" s="113"/>
      <c r="E199" s="58" t="s">
        <v>15</v>
      </c>
      <c r="F199" s="196" t="s">
        <v>19</v>
      </c>
      <c r="G199" s="141">
        <v>0</v>
      </c>
      <c r="H199" s="240" t="str">
        <f>VLOOKUP(G199,tablaestado,3)</f>
        <v>Seleccione Estado</v>
      </c>
      <c r="I199" s="240"/>
      <c r="J199" s="240"/>
      <c r="K199" s="240"/>
      <c r="L199" s="241"/>
      <c r="M199" s="232"/>
      <c r="N199" s="113" t="s">
        <v>19</v>
      </c>
      <c r="O199" s="58" t="s">
        <v>15</v>
      </c>
      <c r="P199" s="196" t="s">
        <v>19</v>
      </c>
      <c r="Q199" s="141">
        <v>0</v>
      </c>
      <c r="R199" s="240" t="str">
        <f>VLOOKUP(Q199,tablaestado,3)</f>
        <v>Seleccione Estado</v>
      </c>
      <c r="S199" s="240"/>
      <c r="T199" s="240"/>
      <c r="U199" s="240"/>
      <c r="V199" s="241"/>
      <c r="W199" s="232"/>
      <c r="X199" s="113" t="s">
        <v>19</v>
      </c>
      <c r="Y199" s="58" t="s">
        <v>15</v>
      </c>
      <c r="Z199" s="196" t="s">
        <v>19</v>
      </c>
      <c r="AA199" s="141">
        <v>0</v>
      </c>
      <c r="AB199" s="240" t="str">
        <f>VLOOKUP(AA199,tablaestado,3)</f>
        <v>Seleccione Estado</v>
      </c>
      <c r="AC199" s="240"/>
      <c r="AD199" s="240"/>
      <c r="AE199" s="240"/>
      <c r="AF199" s="241"/>
      <c r="AG199" s="232"/>
      <c r="AH199" s="113" t="s">
        <v>19</v>
      </c>
      <c r="AI199" s="58" t="s">
        <v>15</v>
      </c>
      <c r="AJ199" s="196" t="s">
        <v>19</v>
      </c>
      <c r="AK199" s="141">
        <v>0</v>
      </c>
      <c r="AL199" s="240" t="str">
        <f>VLOOKUP(AK199,tablaestado,3)</f>
        <v>Seleccione Estado</v>
      </c>
      <c r="AM199" s="240"/>
      <c r="AN199" s="240"/>
      <c r="AO199" s="240"/>
      <c r="AP199" s="241"/>
    </row>
    <row r="200" spans="1:42" ht="28.5" customHeight="1" thickBot="1">
      <c r="B200" s="251" t="s">
        <v>1</v>
      </c>
      <c r="C200" s="222" t="s">
        <v>2</v>
      </c>
      <c r="D200" s="112" t="s">
        <v>3</v>
      </c>
      <c r="E200" s="224" t="s">
        <v>4</v>
      </c>
      <c r="F200" s="225"/>
      <c r="G200" s="226" t="s">
        <v>5</v>
      </c>
      <c r="H200" s="227"/>
      <c r="I200" s="227"/>
      <c r="J200" s="227"/>
      <c r="K200" s="227"/>
      <c r="L200" s="228"/>
      <c r="M200" s="222" t="s">
        <v>2</v>
      </c>
      <c r="N200" s="112" t="s">
        <v>3</v>
      </c>
      <c r="O200" s="224" t="s">
        <v>4</v>
      </c>
      <c r="P200" s="225"/>
      <c r="Q200" s="226" t="s">
        <v>6</v>
      </c>
      <c r="R200" s="227"/>
      <c r="S200" s="227"/>
      <c r="T200" s="227"/>
      <c r="U200" s="227"/>
      <c r="V200" s="228"/>
      <c r="W200" s="222" t="s">
        <v>2</v>
      </c>
      <c r="X200" s="112" t="s">
        <v>3</v>
      </c>
      <c r="Y200" s="224" t="s">
        <v>4</v>
      </c>
      <c r="Z200" s="225"/>
      <c r="AA200" s="226" t="s">
        <v>7</v>
      </c>
      <c r="AB200" s="227"/>
      <c r="AC200" s="227"/>
      <c r="AD200" s="227"/>
      <c r="AE200" s="227"/>
      <c r="AF200" s="228"/>
      <c r="AG200" s="222" t="s">
        <v>2</v>
      </c>
      <c r="AH200" s="112" t="s">
        <v>3</v>
      </c>
      <c r="AI200" s="224" t="s">
        <v>4</v>
      </c>
      <c r="AJ200" s="225"/>
      <c r="AK200" s="226" t="s">
        <v>8</v>
      </c>
      <c r="AL200" s="227"/>
      <c r="AM200" s="227"/>
      <c r="AN200" s="227"/>
      <c r="AO200" s="227"/>
      <c r="AP200" s="228"/>
    </row>
    <row r="201" spans="1:42" ht="28.5" customHeight="1" thickBot="1">
      <c r="B201" s="252"/>
      <c r="C201" s="223"/>
      <c r="D201" s="199" t="s">
        <v>9</v>
      </c>
      <c r="E201" s="199" t="s">
        <v>10</v>
      </c>
      <c r="F201" s="112" t="s">
        <v>9</v>
      </c>
      <c r="G201" s="229" t="s">
        <v>11</v>
      </c>
      <c r="H201" s="229"/>
      <c r="I201" s="71" t="s">
        <v>12</v>
      </c>
      <c r="J201" s="147">
        <v>0</v>
      </c>
      <c r="K201" s="71" t="s">
        <v>13</v>
      </c>
      <c r="L201" s="148">
        <v>0</v>
      </c>
      <c r="M201" s="223"/>
      <c r="N201" s="199" t="s">
        <v>9</v>
      </c>
      <c r="O201" s="199" t="s">
        <v>10</v>
      </c>
      <c r="P201" s="112" t="s">
        <v>9</v>
      </c>
      <c r="Q201" s="229" t="s">
        <v>11</v>
      </c>
      <c r="R201" s="229"/>
      <c r="S201" s="71" t="s">
        <v>12</v>
      </c>
      <c r="T201" s="147">
        <v>0</v>
      </c>
      <c r="U201" s="71" t="s">
        <v>13</v>
      </c>
      <c r="V201" s="148">
        <v>0</v>
      </c>
      <c r="W201" s="223"/>
      <c r="X201" s="199" t="s">
        <v>9</v>
      </c>
      <c r="Y201" s="199" t="s">
        <v>10</v>
      </c>
      <c r="Z201" s="112" t="s">
        <v>9</v>
      </c>
      <c r="AA201" s="229" t="s">
        <v>11</v>
      </c>
      <c r="AB201" s="229"/>
      <c r="AC201" s="71" t="s">
        <v>12</v>
      </c>
      <c r="AD201" s="147">
        <v>0</v>
      </c>
      <c r="AE201" s="71" t="s">
        <v>13</v>
      </c>
      <c r="AF201" s="148">
        <v>0</v>
      </c>
      <c r="AG201" s="223"/>
      <c r="AH201" s="199" t="s">
        <v>9</v>
      </c>
      <c r="AI201" s="199" t="s">
        <v>10</v>
      </c>
      <c r="AJ201" s="112" t="s">
        <v>9</v>
      </c>
      <c r="AK201" s="229" t="s">
        <v>11</v>
      </c>
      <c r="AL201" s="229"/>
      <c r="AM201" s="71" t="s">
        <v>12</v>
      </c>
      <c r="AN201" s="147">
        <v>0</v>
      </c>
      <c r="AO201" s="71" t="s">
        <v>13</v>
      </c>
      <c r="AP201" s="148">
        <v>0</v>
      </c>
    </row>
    <row r="202" spans="1:42" ht="28.5" customHeight="1">
      <c r="A202" s="132"/>
      <c r="B202" s="58" t="s">
        <v>61</v>
      </c>
      <c r="C202" s="230"/>
      <c r="D202" s="113"/>
      <c r="E202" s="58" t="s">
        <v>15</v>
      </c>
      <c r="F202" s="195" t="s">
        <v>16</v>
      </c>
      <c r="G202" s="69" t="s">
        <v>17</v>
      </c>
      <c r="H202" s="233"/>
      <c r="I202" s="233"/>
      <c r="J202" s="233"/>
      <c r="K202" s="69" t="s">
        <v>18</v>
      </c>
      <c r="L202" s="72"/>
      <c r="M202" s="230"/>
      <c r="N202" s="113" t="s">
        <v>16</v>
      </c>
      <c r="O202" s="58" t="s">
        <v>15</v>
      </c>
      <c r="P202" s="195" t="s">
        <v>16</v>
      </c>
      <c r="Q202" s="69" t="s">
        <v>17</v>
      </c>
      <c r="R202" s="233"/>
      <c r="S202" s="233"/>
      <c r="T202" s="233"/>
      <c r="U202" s="69" t="s">
        <v>18</v>
      </c>
      <c r="V202" s="72"/>
      <c r="W202" s="230"/>
      <c r="X202" s="113" t="s">
        <v>16</v>
      </c>
      <c r="Y202" s="58" t="s">
        <v>15</v>
      </c>
      <c r="Z202" s="195" t="s">
        <v>16</v>
      </c>
      <c r="AA202" s="69" t="s">
        <v>17</v>
      </c>
      <c r="AB202" s="233"/>
      <c r="AC202" s="233"/>
      <c r="AD202" s="233"/>
      <c r="AE202" s="69" t="s">
        <v>18</v>
      </c>
      <c r="AF202" s="72"/>
      <c r="AG202" s="230"/>
      <c r="AH202" s="113" t="s">
        <v>16</v>
      </c>
      <c r="AI202" s="58" t="s">
        <v>15</v>
      </c>
      <c r="AJ202" s="195" t="s">
        <v>16</v>
      </c>
      <c r="AK202" s="69" t="s">
        <v>17</v>
      </c>
      <c r="AL202" s="233"/>
      <c r="AM202" s="233"/>
      <c r="AN202" s="233"/>
      <c r="AO202" s="69" t="s">
        <v>18</v>
      </c>
      <c r="AP202" s="72"/>
    </row>
    <row r="203" spans="1:42" ht="28.5" customHeight="1">
      <c r="B203" s="114" t="str">
        <f>VLOOKUP(B202,tablaequipo,4)</f>
        <v>Grua</v>
      </c>
      <c r="C203" s="231"/>
      <c r="D203" s="113"/>
      <c r="E203" s="58" t="s">
        <v>15</v>
      </c>
      <c r="F203" s="195" t="s">
        <v>19</v>
      </c>
      <c r="G203" s="146" t="s">
        <v>20</v>
      </c>
      <c r="H203" s="234"/>
      <c r="I203" s="234"/>
      <c r="J203" s="234"/>
      <c r="K203" s="234"/>
      <c r="L203" s="235"/>
      <c r="M203" s="231"/>
      <c r="N203" s="113" t="s">
        <v>19</v>
      </c>
      <c r="O203" s="58" t="s">
        <v>15</v>
      </c>
      <c r="P203" s="195" t="s">
        <v>19</v>
      </c>
      <c r="Q203" s="146" t="s">
        <v>20</v>
      </c>
      <c r="R203" s="234"/>
      <c r="S203" s="234"/>
      <c r="T203" s="234"/>
      <c r="U203" s="234"/>
      <c r="V203" s="235"/>
      <c r="W203" s="231"/>
      <c r="X203" s="113" t="s">
        <v>19</v>
      </c>
      <c r="Y203" s="58" t="s">
        <v>15</v>
      </c>
      <c r="Z203" s="195" t="s">
        <v>19</v>
      </c>
      <c r="AA203" s="146" t="s">
        <v>20</v>
      </c>
      <c r="AB203" s="234"/>
      <c r="AC203" s="234"/>
      <c r="AD203" s="234"/>
      <c r="AE203" s="234"/>
      <c r="AF203" s="235"/>
      <c r="AG203" s="231"/>
      <c r="AH203" s="113" t="s">
        <v>19</v>
      </c>
      <c r="AI203" s="58" t="s">
        <v>15</v>
      </c>
      <c r="AJ203" s="195" t="s">
        <v>19</v>
      </c>
      <c r="AK203" s="146" t="s">
        <v>20</v>
      </c>
      <c r="AL203" s="234"/>
      <c r="AM203" s="234"/>
      <c r="AN203" s="234"/>
      <c r="AO203" s="234"/>
      <c r="AP203" s="235"/>
    </row>
    <row r="204" spans="1:42" ht="28.5" customHeight="1">
      <c r="B204" s="114" t="str">
        <f>VLOOKUP(B202,tablaequipo,6)</f>
        <v>LIEBHERR</v>
      </c>
      <c r="C204" s="231"/>
      <c r="D204" s="113"/>
      <c r="E204" s="58" t="s">
        <v>15</v>
      </c>
      <c r="F204" s="195" t="s">
        <v>19</v>
      </c>
      <c r="G204" s="70" t="s">
        <v>21</v>
      </c>
      <c r="H204" s="236"/>
      <c r="I204" s="236"/>
      <c r="J204" s="236"/>
      <c r="K204" s="70" t="s">
        <v>22</v>
      </c>
      <c r="L204" s="68"/>
      <c r="M204" s="231"/>
      <c r="N204" s="113" t="s">
        <v>19</v>
      </c>
      <c r="O204" s="58" t="s">
        <v>15</v>
      </c>
      <c r="P204" s="195" t="s">
        <v>19</v>
      </c>
      <c r="Q204" s="70" t="s">
        <v>21</v>
      </c>
      <c r="R204" s="236"/>
      <c r="S204" s="236"/>
      <c r="T204" s="236"/>
      <c r="U204" s="70" t="s">
        <v>22</v>
      </c>
      <c r="V204" s="68"/>
      <c r="W204" s="231"/>
      <c r="X204" s="113" t="s">
        <v>19</v>
      </c>
      <c r="Y204" s="58" t="s">
        <v>15</v>
      </c>
      <c r="Z204" s="195" t="s">
        <v>19</v>
      </c>
      <c r="AA204" s="70" t="s">
        <v>21</v>
      </c>
      <c r="AB204" s="236"/>
      <c r="AC204" s="236"/>
      <c r="AD204" s="236"/>
      <c r="AE204" s="70" t="s">
        <v>22</v>
      </c>
      <c r="AF204" s="68"/>
      <c r="AG204" s="231"/>
      <c r="AH204" s="113" t="s">
        <v>19</v>
      </c>
      <c r="AI204" s="58" t="s">
        <v>15</v>
      </c>
      <c r="AJ204" s="195" t="s">
        <v>19</v>
      </c>
      <c r="AK204" s="70" t="s">
        <v>21</v>
      </c>
      <c r="AL204" s="236"/>
      <c r="AM204" s="236"/>
      <c r="AN204" s="236"/>
      <c r="AO204" s="70" t="s">
        <v>22</v>
      </c>
      <c r="AP204" s="68"/>
    </row>
    <row r="205" spans="1:42" ht="28.5" customHeight="1" thickBot="1">
      <c r="B205" s="114" t="str">
        <f>VLOOKUP(B202,tablaequipo,7)</f>
        <v>LTM 1250</v>
      </c>
      <c r="C205" s="231"/>
      <c r="D205" s="113"/>
      <c r="E205" s="58" t="s">
        <v>15</v>
      </c>
      <c r="F205" s="195" t="s">
        <v>19</v>
      </c>
      <c r="G205" s="146" t="s">
        <v>23</v>
      </c>
      <c r="H205" s="234"/>
      <c r="I205" s="234"/>
      <c r="J205" s="234"/>
      <c r="K205" s="234"/>
      <c r="L205" s="235"/>
      <c r="M205" s="231"/>
      <c r="N205" s="113" t="s">
        <v>19</v>
      </c>
      <c r="O205" s="58" t="s">
        <v>15</v>
      </c>
      <c r="P205" s="195" t="s">
        <v>19</v>
      </c>
      <c r="Q205" s="146" t="s">
        <v>23</v>
      </c>
      <c r="R205" s="234"/>
      <c r="S205" s="234"/>
      <c r="T205" s="234"/>
      <c r="U205" s="234"/>
      <c r="V205" s="235"/>
      <c r="W205" s="231"/>
      <c r="X205" s="113" t="s">
        <v>19</v>
      </c>
      <c r="Y205" s="58" t="s">
        <v>15</v>
      </c>
      <c r="Z205" s="195" t="s">
        <v>19</v>
      </c>
      <c r="AA205" s="146" t="s">
        <v>23</v>
      </c>
      <c r="AB205" s="234"/>
      <c r="AC205" s="234"/>
      <c r="AD205" s="234"/>
      <c r="AE205" s="234"/>
      <c r="AF205" s="235"/>
      <c r="AG205" s="231"/>
      <c r="AH205" s="113" t="s">
        <v>19</v>
      </c>
      <c r="AI205" s="58" t="s">
        <v>15</v>
      </c>
      <c r="AJ205" s="195" t="s">
        <v>19</v>
      </c>
      <c r="AK205" s="146" t="s">
        <v>23</v>
      </c>
      <c r="AL205" s="234"/>
      <c r="AM205" s="234"/>
      <c r="AN205" s="234"/>
      <c r="AO205" s="234"/>
      <c r="AP205" s="235"/>
    </row>
    <row r="206" spans="1:42" ht="28.5" customHeight="1" thickBot="1">
      <c r="B206" s="114">
        <f>VLOOKUP(B202,tablaequipo,8)</f>
        <v>0</v>
      </c>
      <c r="C206" s="231"/>
      <c r="D206" s="113"/>
      <c r="E206" s="58" t="s">
        <v>15</v>
      </c>
      <c r="F206" s="177" t="s">
        <v>24</v>
      </c>
      <c r="G206" s="70" t="s">
        <v>21</v>
      </c>
      <c r="H206" s="236"/>
      <c r="I206" s="236"/>
      <c r="J206" s="236"/>
      <c r="K206" s="70" t="s">
        <v>22</v>
      </c>
      <c r="L206" s="68"/>
      <c r="M206" s="231"/>
      <c r="N206" s="113" t="s">
        <v>19</v>
      </c>
      <c r="O206" s="58" t="s">
        <v>15</v>
      </c>
      <c r="P206" s="177" t="s">
        <v>24</v>
      </c>
      <c r="Q206" s="70" t="s">
        <v>21</v>
      </c>
      <c r="R206" s="236"/>
      <c r="S206" s="236"/>
      <c r="T206" s="236"/>
      <c r="U206" s="70" t="s">
        <v>22</v>
      </c>
      <c r="V206" s="68"/>
      <c r="W206" s="231"/>
      <c r="X206" s="113" t="s">
        <v>19</v>
      </c>
      <c r="Y206" s="58" t="s">
        <v>15</v>
      </c>
      <c r="Z206" s="177" t="s">
        <v>24</v>
      </c>
      <c r="AA206" s="70" t="s">
        <v>21</v>
      </c>
      <c r="AB206" s="236"/>
      <c r="AC206" s="236"/>
      <c r="AD206" s="236"/>
      <c r="AE206" s="70" t="s">
        <v>22</v>
      </c>
      <c r="AF206" s="68"/>
      <c r="AG206" s="231"/>
      <c r="AH206" s="113" t="s">
        <v>19</v>
      </c>
      <c r="AI206" s="58" t="s">
        <v>15</v>
      </c>
      <c r="AJ206" s="177" t="s">
        <v>24</v>
      </c>
      <c r="AK206" s="70" t="s">
        <v>21</v>
      </c>
      <c r="AL206" s="236"/>
      <c r="AM206" s="236"/>
      <c r="AN206" s="236"/>
      <c r="AO206" s="70" t="s">
        <v>22</v>
      </c>
      <c r="AP206" s="68"/>
    </row>
    <row r="207" spans="1:42" ht="28.5" customHeight="1" thickBot="1">
      <c r="B207" s="121">
        <v>0</v>
      </c>
      <c r="C207" s="231"/>
      <c r="D207" s="113"/>
      <c r="E207" s="58" t="s">
        <v>15</v>
      </c>
      <c r="F207" s="196" t="s">
        <v>16</v>
      </c>
      <c r="G207" s="140" t="s">
        <v>25</v>
      </c>
      <c r="H207" s="237" t="s">
        <v>26</v>
      </c>
      <c r="I207" s="238"/>
      <c r="J207" s="140" t="s">
        <v>27</v>
      </c>
      <c r="K207" s="237" t="s">
        <v>28</v>
      </c>
      <c r="L207" s="239"/>
      <c r="M207" s="231"/>
      <c r="N207" s="113" t="s">
        <v>19</v>
      </c>
      <c r="O207" s="58" t="s">
        <v>15</v>
      </c>
      <c r="P207" s="196" t="s">
        <v>16</v>
      </c>
      <c r="Q207" s="140" t="s">
        <v>25</v>
      </c>
      <c r="R207" s="237" t="s">
        <v>26</v>
      </c>
      <c r="S207" s="238"/>
      <c r="T207" s="140" t="s">
        <v>27</v>
      </c>
      <c r="U207" s="237" t="s">
        <v>28</v>
      </c>
      <c r="V207" s="239"/>
      <c r="W207" s="231"/>
      <c r="X207" s="113" t="s">
        <v>19</v>
      </c>
      <c r="Y207" s="58" t="s">
        <v>15</v>
      </c>
      <c r="Z207" s="196" t="s">
        <v>16</v>
      </c>
      <c r="AA207" s="140" t="s">
        <v>25</v>
      </c>
      <c r="AB207" s="237" t="s">
        <v>26</v>
      </c>
      <c r="AC207" s="238"/>
      <c r="AD207" s="140" t="s">
        <v>27</v>
      </c>
      <c r="AE207" s="237" t="s">
        <v>28</v>
      </c>
      <c r="AF207" s="239"/>
      <c r="AG207" s="231"/>
      <c r="AH207" s="113" t="s">
        <v>19</v>
      </c>
      <c r="AI207" s="58" t="s">
        <v>15</v>
      </c>
      <c r="AJ207" s="196" t="s">
        <v>16</v>
      </c>
      <c r="AK207" s="140" t="s">
        <v>25</v>
      </c>
      <c r="AL207" s="237" t="s">
        <v>26</v>
      </c>
      <c r="AM207" s="238"/>
      <c r="AN207" s="140" t="s">
        <v>27</v>
      </c>
      <c r="AO207" s="237" t="s">
        <v>28</v>
      </c>
      <c r="AP207" s="239"/>
    </row>
    <row r="208" spans="1:42" ht="28.5" customHeight="1" thickBot="1">
      <c r="B208" s="122" t="str">
        <f>VLOOKUP(B207,tablapermiso,3)</f>
        <v>Seleccione Gestion</v>
      </c>
      <c r="C208" s="232"/>
      <c r="D208" s="113"/>
      <c r="E208" s="58" t="s">
        <v>15</v>
      </c>
      <c r="F208" s="196" t="s">
        <v>19</v>
      </c>
      <c r="G208" s="141">
        <v>0</v>
      </c>
      <c r="H208" s="240" t="str">
        <f>VLOOKUP(G208,tablaestado,3)</f>
        <v>Seleccione Estado</v>
      </c>
      <c r="I208" s="240"/>
      <c r="J208" s="240"/>
      <c r="K208" s="240"/>
      <c r="L208" s="241"/>
      <c r="M208" s="232"/>
      <c r="N208" s="113" t="s">
        <v>19</v>
      </c>
      <c r="O208" s="58" t="s">
        <v>15</v>
      </c>
      <c r="P208" s="196" t="s">
        <v>19</v>
      </c>
      <c r="Q208" s="141">
        <v>0</v>
      </c>
      <c r="R208" s="240" t="str">
        <f>VLOOKUP(Q208,tablaestado,3)</f>
        <v>Seleccione Estado</v>
      </c>
      <c r="S208" s="240"/>
      <c r="T208" s="240"/>
      <c r="U208" s="240"/>
      <c r="V208" s="241"/>
      <c r="W208" s="232"/>
      <c r="X208" s="113" t="s">
        <v>19</v>
      </c>
      <c r="Y208" s="58" t="s">
        <v>15</v>
      </c>
      <c r="Z208" s="196" t="s">
        <v>19</v>
      </c>
      <c r="AA208" s="141">
        <v>0</v>
      </c>
      <c r="AB208" s="240" t="str">
        <f>VLOOKUP(AA208,tablaestado,3)</f>
        <v>Seleccione Estado</v>
      </c>
      <c r="AC208" s="240"/>
      <c r="AD208" s="240"/>
      <c r="AE208" s="240"/>
      <c r="AF208" s="241"/>
      <c r="AG208" s="232"/>
      <c r="AH208" s="113" t="s">
        <v>19</v>
      </c>
      <c r="AI208" s="58" t="s">
        <v>15</v>
      </c>
      <c r="AJ208" s="196" t="s">
        <v>19</v>
      </c>
      <c r="AK208" s="141">
        <v>0</v>
      </c>
      <c r="AL208" s="240" t="str">
        <f>VLOOKUP(AK208,tablaestado,3)</f>
        <v>Seleccione Estado</v>
      </c>
      <c r="AM208" s="240"/>
      <c r="AN208" s="240"/>
      <c r="AO208" s="240"/>
      <c r="AP208" s="241"/>
    </row>
    <row r="209" spans="1:42" ht="28.5" customHeight="1" thickBot="1">
      <c r="B209" s="251" t="s">
        <v>1</v>
      </c>
      <c r="C209" s="222" t="s">
        <v>2</v>
      </c>
      <c r="D209" s="112" t="s">
        <v>3</v>
      </c>
      <c r="E209" s="224" t="s">
        <v>4</v>
      </c>
      <c r="F209" s="225"/>
      <c r="G209" s="226" t="s">
        <v>5</v>
      </c>
      <c r="H209" s="227"/>
      <c r="I209" s="227"/>
      <c r="J209" s="227"/>
      <c r="K209" s="227"/>
      <c r="L209" s="228"/>
      <c r="M209" s="222" t="s">
        <v>2</v>
      </c>
      <c r="N209" s="112" t="s">
        <v>3</v>
      </c>
      <c r="O209" s="224" t="s">
        <v>4</v>
      </c>
      <c r="P209" s="225"/>
      <c r="Q209" s="226" t="s">
        <v>6</v>
      </c>
      <c r="R209" s="227"/>
      <c r="S209" s="227"/>
      <c r="T209" s="227"/>
      <c r="U209" s="227"/>
      <c r="V209" s="228"/>
      <c r="W209" s="222" t="s">
        <v>2</v>
      </c>
      <c r="X209" s="112" t="s">
        <v>3</v>
      </c>
      <c r="Y209" s="224" t="s">
        <v>4</v>
      </c>
      <c r="Z209" s="225"/>
      <c r="AA209" s="226" t="s">
        <v>7</v>
      </c>
      <c r="AB209" s="227"/>
      <c r="AC209" s="227"/>
      <c r="AD209" s="227"/>
      <c r="AE209" s="227"/>
      <c r="AF209" s="228"/>
      <c r="AG209" s="222" t="s">
        <v>2</v>
      </c>
      <c r="AH209" s="112" t="s">
        <v>3</v>
      </c>
      <c r="AI209" s="224" t="s">
        <v>4</v>
      </c>
      <c r="AJ209" s="225"/>
      <c r="AK209" s="226" t="s">
        <v>8</v>
      </c>
      <c r="AL209" s="227"/>
      <c r="AM209" s="227"/>
      <c r="AN209" s="227"/>
      <c r="AO209" s="227"/>
      <c r="AP209" s="228"/>
    </row>
    <row r="210" spans="1:42" ht="28.5" customHeight="1" thickBot="1">
      <c r="B210" s="252"/>
      <c r="C210" s="223"/>
      <c r="D210" s="199" t="s">
        <v>9</v>
      </c>
      <c r="E210" s="199" t="s">
        <v>10</v>
      </c>
      <c r="F210" s="112" t="s">
        <v>9</v>
      </c>
      <c r="G210" s="229" t="s">
        <v>62</v>
      </c>
      <c r="H210" s="229"/>
      <c r="I210" s="71" t="s">
        <v>12</v>
      </c>
      <c r="J210" s="147">
        <v>0</v>
      </c>
      <c r="K210" s="71" t="s">
        <v>13</v>
      </c>
      <c r="L210" s="148">
        <v>0</v>
      </c>
      <c r="M210" s="223"/>
      <c r="N210" s="199" t="s">
        <v>9</v>
      </c>
      <c r="O210" s="199" t="s">
        <v>10</v>
      </c>
      <c r="P210" s="112" t="s">
        <v>9</v>
      </c>
      <c r="Q210" s="229" t="s">
        <v>11</v>
      </c>
      <c r="R210" s="229"/>
      <c r="S210" s="71" t="s">
        <v>12</v>
      </c>
      <c r="T210" s="147">
        <v>0</v>
      </c>
      <c r="U210" s="71" t="s">
        <v>13</v>
      </c>
      <c r="V210" s="148">
        <v>0</v>
      </c>
      <c r="W210" s="223"/>
      <c r="X210" s="199" t="s">
        <v>9</v>
      </c>
      <c r="Y210" s="199" t="s">
        <v>10</v>
      </c>
      <c r="Z210" s="112" t="s">
        <v>9</v>
      </c>
      <c r="AA210" s="229" t="s">
        <v>11</v>
      </c>
      <c r="AB210" s="229"/>
      <c r="AC210" s="71" t="s">
        <v>12</v>
      </c>
      <c r="AD210" s="147">
        <v>0</v>
      </c>
      <c r="AE210" s="71" t="s">
        <v>13</v>
      </c>
      <c r="AF210" s="148">
        <v>0</v>
      </c>
      <c r="AG210" s="223"/>
      <c r="AH210" s="199" t="s">
        <v>9</v>
      </c>
      <c r="AI210" s="199" t="s">
        <v>10</v>
      </c>
      <c r="AJ210" s="112" t="s">
        <v>9</v>
      </c>
      <c r="AK210" s="229" t="s">
        <v>11</v>
      </c>
      <c r="AL210" s="229"/>
      <c r="AM210" s="71" t="s">
        <v>12</v>
      </c>
      <c r="AN210" s="147">
        <v>0</v>
      </c>
      <c r="AO210" s="71" t="s">
        <v>13</v>
      </c>
      <c r="AP210" s="148">
        <v>0</v>
      </c>
    </row>
    <row r="211" spans="1:42" ht="28.5" customHeight="1">
      <c r="A211" s="132"/>
      <c r="B211" s="58" t="s">
        <v>63</v>
      </c>
      <c r="C211" s="230"/>
      <c r="D211" s="113" t="s">
        <v>64</v>
      </c>
      <c r="E211" s="58" t="s">
        <v>15</v>
      </c>
      <c r="F211" s="195" t="s">
        <v>16</v>
      </c>
      <c r="G211" s="69" t="s">
        <v>17</v>
      </c>
      <c r="H211" s="233" t="s">
        <v>65</v>
      </c>
      <c r="I211" s="233"/>
      <c r="J211" s="233"/>
      <c r="K211" s="69" t="s">
        <v>18</v>
      </c>
      <c r="L211" s="72">
        <v>0.29166666666666669</v>
      </c>
      <c r="M211" s="230"/>
      <c r="N211" s="113" t="s">
        <v>16</v>
      </c>
      <c r="O211" s="58" t="s">
        <v>15</v>
      </c>
      <c r="P211" s="195" t="s">
        <v>16</v>
      </c>
      <c r="Q211" s="69" t="s">
        <v>17</v>
      </c>
      <c r="R211" s="233"/>
      <c r="S211" s="233"/>
      <c r="T211" s="233"/>
      <c r="U211" s="69" t="s">
        <v>18</v>
      </c>
      <c r="V211" s="72"/>
      <c r="W211" s="230"/>
      <c r="X211" s="113" t="s">
        <v>16</v>
      </c>
      <c r="Y211" s="58" t="s">
        <v>15</v>
      </c>
      <c r="Z211" s="195" t="s">
        <v>16</v>
      </c>
      <c r="AA211" s="69" t="s">
        <v>17</v>
      </c>
      <c r="AB211" s="233"/>
      <c r="AC211" s="233"/>
      <c r="AD211" s="233"/>
      <c r="AE211" s="69" t="s">
        <v>18</v>
      </c>
      <c r="AF211" s="72"/>
      <c r="AG211" s="230"/>
      <c r="AH211" s="113" t="s">
        <v>16</v>
      </c>
      <c r="AI211" s="58" t="s">
        <v>15</v>
      </c>
      <c r="AJ211" s="195" t="s">
        <v>16</v>
      </c>
      <c r="AK211" s="69" t="s">
        <v>17</v>
      </c>
      <c r="AL211" s="233"/>
      <c r="AM211" s="233"/>
      <c r="AN211" s="233"/>
      <c r="AO211" s="69" t="s">
        <v>18</v>
      </c>
      <c r="AP211" s="72"/>
    </row>
    <row r="212" spans="1:42" ht="28.5" customHeight="1">
      <c r="B212" s="114" t="str">
        <f>VLOOKUP(B211,tablaequipo,4)</f>
        <v>Grua</v>
      </c>
      <c r="C212" s="231"/>
      <c r="D212" s="113"/>
      <c r="E212" s="58" t="s">
        <v>15</v>
      </c>
      <c r="F212" s="195" t="s">
        <v>19</v>
      </c>
      <c r="G212" s="146" t="s">
        <v>20</v>
      </c>
      <c r="H212" s="234" t="s">
        <v>66</v>
      </c>
      <c r="I212" s="234"/>
      <c r="J212" s="234"/>
      <c r="K212" s="234"/>
      <c r="L212" s="235"/>
      <c r="M212" s="231"/>
      <c r="N212" s="113" t="s">
        <v>19</v>
      </c>
      <c r="O212" s="58" t="s">
        <v>15</v>
      </c>
      <c r="P212" s="195" t="s">
        <v>19</v>
      </c>
      <c r="Q212" s="146" t="s">
        <v>20</v>
      </c>
      <c r="R212" s="234"/>
      <c r="S212" s="234"/>
      <c r="T212" s="234"/>
      <c r="U212" s="234"/>
      <c r="V212" s="235"/>
      <c r="W212" s="231"/>
      <c r="X212" s="113" t="s">
        <v>19</v>
      </c>
      <c r="Y212" s="58" t="s">
        <v>15</v>
      </c>
      <c r="Z212" s="195" t="s">
        <v>19</v>
      </c>
      <c r="AA212" s="146" t="s">
        <v>20</v>
      </c>
      <c r="AB212" s="234"/>
      <c r="AC212" s="234"/>
      <c r="AD212" s="234"/>
      <c r="AE212" s="234"/>
      <c r="AF212" s="235"/>
      <c r="AG212" s="231"/>
      <c r="AH212" s="113" t="s">
        <v>19</v>
      </c>
      <c r="AI212" s="58" t="s">
        <v>15</v>
      </c>
      <c r="AJ212" s="195" t="s">
        <v>19</v>
      </c>
      <c r="AK212" s="146" t="s">
        <v>20</v>
      </c>
      <c r="AL212" s="234"/>
      <c r="AM212" s="234"/>
      <c r="AN212" s="234"/>
      <c r="AO212" s="234"/>
      <c r="AP212" s="235"/>
    </row>
    <row r="213" spans="1:42" ht="28.5" customHeight="1">
      <c r="B213" s="114" t="str">
        <f>VLOOKUP(B211,tablaequipo,6)</f>
        <v>TADANO</v>
      </c>
      <c r="C213" s="231"/>
      <c r="D213" s="113"/>
      <c r="E213" s="58" t="s">
        <v>15</v>
      </c>
      <c r="F213" s="195" t="s">
        <v>19</v>
      </c>
      <c r="G213" s="70" t="s">
        <v>21</v>
      </c>
      <c r="H213" s="236" t="s">
        <v>67</v>
      </c>
      <c r="I213" s="236"/>
      <c r="J213" s="236"/>
      <c r="K213" s="70" t="s">
        <v>22</v>
      </c>
      <c r="L213" s="68" t="s">
        <v>68</v>
      </c>
      <c r="M213" s="231"/>
      <c r="N213" s="113" t="s">
        <v>19</v>
      </c>
      <c r="O213" s="58" t="s">
        <v>15</v>
      </c>
      <c r="P213" s="195" t="s">
        <v>19</v>
      </c>
      <c r="Q213" s="70" t="s">
        <v>21</v>
      </c>
      <c r="R213" s="236"/>
      <c r="S213" s="236"/>
      <c r="T213" s="236"/>
      <c r="U213" s="70" t="s">
        <v>22</v>
      </c>
      <c r="V213" s="68"/>
      <c r="W213" s="231"/>
      <c r="X213" s="113" t="s">
        <v>19</v>
      </c>
      <c r="Y213" s="58" t="s">
        <v>15</v>
      </c>
      <c r="Z213" s="195" t="s">
        <v>19</v>
      </c>
      <c r="AA213" s="70" t="s">
        <v>21</v>
      </c>
      <c r="AB213" s="236"/>
      <c r="AC213" s="236"/>
      <c r="AD213" s="236"/>
      <c r="AE213" s="70" t="s">
        <v>22</v>
      </c>
      <c r="AF213" s="68"/>
      <c r="AG213" s="231"/>
      <c r="AH213" s="113" t="s">
        <v>19</v>
      </c>
      <c r="AI213" s="58" t="s">
        <v>15</v>
      </c>
      <c r="AJ213" s="195" t="s">
        <v>19</v>
      </c>
      <c r="AK213" s="70" t="s">
        <v>21</v>
      </c>
      <c r="AL213" s="236"/>
      <c r="AM213" s="236"/>
      <c r="AN213" s="236"/>
      <c r="AO213" s="70" t="s">
        <v>22</v>
      </c>
      <c r="AP213" s="68"/>
    </row>
    <row r="214" spans="1:42" ht="28.5" customHeight="1" thickBot="1">
      <c r="B214" s="114" t="str">
        <f>VLOOKUP(B211,tablaequipo,7)</f>
        <v>GR 300 EX</v>
      </c>
      <c r="C214" s="231"/>
      <c r="D214" s="113"/>
      <c r="E214" s="58" t="s">
        <v>15</v>
      </c>
      <c r="F214" s="195" t="s">
        <v>19</v>
      </c>
      <c r="G214" s="146" t="s">
        <v>23</v>
      </c>
      <c r="H214" s="234"/>
      <c r="I214" s="234"/>
      <c r="J214" s="234"/>
      <c r="K214" s="234"/>
      <c r="L214" s="235"/>
      <c r="M214" s="231"/>
      <c r="N214" s="113" t="s">
        <v>19</v>
      </c>
      <c r="O214" s="58" t="s">
        <v>15</v>
      </c>
      <c r="P214" s="195" t="s">
        <v>19</v>
      </c>
      <c r="Q214" s="146" t="s">
        <v>23</v>
      </c>
      <c r="R214" s="234"/>
      <c r="S214" s="234"/>
      <c r="T214" s="234"/>
      <c r="U214" s="234"/>
      <c r="V214" s="235"/>
      <c r="W214" s="231"/>
      <c r="X214" s="113" t="s">
        <v>19</v>
      </c>
      <c r="Y214" s="58" t="s">
        <v>15</v>
      </c>
      <c r="Z214" s="195" t="s">
        <v>19</v>
      </c>
      <c r="AA214" s="146" t="s">
        <v>23</v>
      </c>
      <c r="AB214" s="234"/>
      <c r="AC214" s="234"/>
      <c r="AD214" s="234"/>
      <c r="AE214" s="234"/>
      <c r="AF214" s="235"/>
      <c r="AG214" s="231"/>
      <c r="AH214" s="113" t="s">
        <v>19</v>
      </c>
      <c r="AI214" s="58" t="s">
        <v>15</v>
      </c>
      <c r="AJ214" s="195" t="s">
        <v>19</v>
      </c>
      <c r="AK214" s="146" t="s">
        <v>23</v>
      </c>
      <c r="AL214" s="234"/>
      <c r="AM214" s="234"/>
      <c r="AN214" s="234"/>
      <c r="AO214" s="234"/>
      <c r="AP214" s="235"/>
    </row>
    <row r="215" spans="1:42" ht="28.5" customHeight="1" thickBot="1">
      <c r="B215" s="114" t="str">
        <f>VLOOKUP(B211,tablaequipo,8)</f>
        <v>BIA 75</v>
      </c>
      <c r="C215" s="231"/>
      <c r="D215" s="113"/>
      <c r="E215" s="58" t="s">
        <v>15</v>
      </c>
      <c r="F215" s="177" t="s">
        <v>24</v>
      </c>
      <c r="G215" s="70" t="s">
        <v>21</v>
      </c>
      <c r="H215" s="236"/>
      <c r="I215" s="236"/>
      <c r="J215" s="236"/>
      <c r="K215" s="70" t="s">
        <v>22</v>
      </c>
      <c r="L215" s="68"/>
      <c r="M215" s="231"/>
      <c r="N215" s="113" t="s">
        <v>19</v>
      </c>
      <c r="O215" s="58" t="s">
        <v>15</v>
      </c>
      <c r="P215" s="177" t="s">
        <v>24</v>
      </c>
      <c r="Q215" s="70" t="s">
        <v>21</v>
      </c>
      <c r="R215" s="236"/>
      <c r="S215" s="236"/>
      <c r="T215" s="236"/>
      <c r="U215" s="70" t="s">
        <v>22</v>
      </c>
      <c r="V215" s="68"/>
      <c r="W215" s="231"/>
      <c r="X215" s="113" t="s">
        <v>19</v>
      </c>
      <c r="Y215" s="58" t="s">
        <v>15</v>
      </c>
      <c r="Z215" s="177" t="s">
        <v>24</v>
      </c>
      <c r="AA215" s="70" t="s">
        <v>21</v>
      </c>
      <c r="AB215" s="236"/>
      <c r="AC215" s="236"/>
      <c r="AD215" s="236"/>
      <c r="AE215" s="70" t="s">
        <v>22</v>
      </c>
      <c r="AF215" s="68"/>
      <c r="AG215" s="231"/>
      <c r="AH215" s="113" t="s">
        <v>19</v>
      </c>
      <c r="AI215" s="58" t="s">
        <v>15</v>
      </c>
      <c r="AJ215" s="177" t="s">
        <v>24</v>
      </c>
      <c r="AK215" s="70" t="s">
        <v>21</v>
      </c>
      <c r="AL215" s="236"/>
      <c r="AM215" s="236"/>
      <c r="AN215" s="236"/>
      <c r="AO215" s="70" t="s">
        <v>22</v>
      </c>
      <c r="AP215" s="68"/>
    </row>
    <row r="216" spans="1:42" ht="28.5" customHeight="1" thickBot="1">
      <c r="B216" s="121">
        <v>0</v>
      </c>
      <c r="C216" s="231"/>
      <c r="D216" s="113"/>
      <c r="E216" s="58" t="s">
        <v>15</v>
      </c>
      <c r="F216" s="196" t="s">
        <v>16</v>
      </c>
      <c r="G216" s="140" t="s">
        <v>25</v>
      </c>
      <c r="H216" s="237" t="s">
        <v>26</v>
      </c>
      <c r="I216" s="238"/>
      <c r="J216" s="140" t="s">
        <v>27</v>
      </c>
      <c r="K216" s="237" t="s">
        <v>44</v>
      </c>
      <c r="L216" s="239"/>
      <c r="M216" s="231"/>
      <c r="N216" s="113" t="s">
        <v>19</v>
      </c>
      <c r="O216" s="58" t="s">
        <v>15</v>
      </c>
      <c r="P216" s="196" t="s">
        <v>16</v>
      </c>
      <c r="Q216" s="140" t="s">
        <v>25</v>
      </c>
      <c r="R216" s="237" t="s">
        <v>26</v>
      </c>
      <c r="S216" s="238"/>
      <c r="T216" s="140" t="s">
        <v>27</v>
      </c>
      <c r="U216" s="237" t="s">
        <v>28</v>
      </c>
      <c r="V216" s="239"/>
      <c r="W216" s="231"/>
      <c r="X216" s="113" t="s">
        <v>19</v>
      </c>
      <c r="Y216" s="58" t="s">
        <v>15</v>
      </c>
      <c r="Z216" s="196" t="s">
        <v>16</v>
      </c>
      <c r="AA216" s="140" t="s">
        <v>25</v>
      </c>
      <c r="AB216" s="237" t="s">
        <v>26</v>
      </c>
      <c r="AC216" s="238"/>
      <c r="AD216" s="140" t="s">
        <v>27</v>
      </c>
      <c r="AE216" s="237" t="s">
        <v>28</v>
      </c>
      <c r="AF216" s="239"/>
      <c r="AG216" s="231"/>
      <c r="AH216" s="113" t="s">
        <v>19</v>
      </c>
      <c r="AI216" s="58" t="s">
        <v>15</v>
      </c>
      <c r="AJ216" s="196" t="s">
        <v>16</v>
      </c>
      <c r="AK216" s="140" t="s">
        <v>25</v>
      </c>
      <c r="AL216" s="237" t="s">
        <v>26</v>
      </c>
      <c r="AM216" s="238"/>
      <c r="AN216" s="140" t="s">
        <v>27</v>
      </c>
      <c r="AO216" s="237" t="s">
        <v>28</v>
      </c>
      <c r="AP216" s="239"/>
    </row>
    <row r="217" spans="1:42" ht="28.5" customHeight="1" thickBot="1">
      <c r="B217" s="122" t="str">
        <f>VLOOKUP(B216,tablapermiso,3)</f>
        <v>Seleccione Gestion</v>
      </c>
      <c r="C217" s="232"/>
      <c r="D217" s="113"/>
      <c r="E217" s="58" t="s">
        <v>15</v>
      </c>
      <c r="F217" s="196" t="s">
        <v>19</v>
      </c>
      <c r="G217" s="141">
        <v>1</v>
      </c>
      <c r="H217" s="240" t="str">
        <f>VLOOKUP(G217,tablaestado,3)</f>
        <v>En ejecucion</v>
      </c>
      <c r="I217" s="240"/>
      <c r="J217" s="240"/>
      <c r="K217" s="240"/>
      <c r="L217" s="241"/>
      <c r="M217" s="232"/>
      <c r="N217" s="113" t="s">
        <v>19</v>
      </c>
      <c r="O217" s="58" t="s">
        <v>15</v>
      </c>
      <c r="P217" s="196" t="s">
        <v>19</v>
      </c>
      <c r="Q217" s="141">
        <v>0</v>
      </c>
      <c r="R217" s="240" t="str">
        <f>VLOOKUP(Q217,tablaestado,3)</f>
        <v>Seleccione Estado</v>
      </c>
      <c r="S217" s="240"/>
      <c r="T217" s="240"/>
      <c r="U217" s="240"/>
      <c r="V217" s="241"/>
      <c r="W217" s="232"/>
      <c r="X217" s="113" t="s">
        <v>19</v>
      </c>
      <c r="Y217" s="58" t="s">
        <v>15</v>
      </c>
      <c r="Z217" s="196" t="s">
        <v>19</v>
      </c>
      <c r="AA217" s="141">
        <v>0</v>
      </c>
      <c r="AB217" s="240" t="str">
        <f>VLOOKUP(AA217,tablaestado,3)</f>
        <v>Seleccione Estado</v>
      </c>
      <c r="AC217" s="240"/>
      <c r="AD217" s="240"/>
      <c r="AE217" s="240"/>
      <c r="AF217" s="241"/>
      <c r="AG217" s="232"/>
      <c r="AH217" s="113" t="s">
        <v>19</v>
      </c>
      <c r="AI217" s="58" t="s">
        <v>15</v>
      </c>
      <c r="AJ217" s="196" t="s">
        <v>19</v>
      </c>
      <c r="AK217" s="141">
        <v>0</v>
      </c>
      <c r="AL217" s="240" t="str">
        <f>VLOOKUP(AK217,tablaestado,3)</f>
        <v>Seleccione Estado</v>
      </c>
      <c r="AM217" s="240"/>
      <c r="AN217" s="240"/>
      <c r="AO217" s="240"/>
      <c r="AP217" s="241"/>
    </row>
    <row r="218" spans="1:42" ht="28.5" customHeight="1" thickBot="1">
      <c r="B218" s="251" t="s">
        <v>1</v>
      </c>
      <c r="C218" s="222" t="s">
        <v>2</v>
      </c>
      <c r="D218" s="112" t="s">
        <v>3</v>
      </c>
      <c r="E218" s="224" t="s">
        <v>4</v>
      </c>
      <c r="F218" s="225"/>
      <c r="G218" s="226" t="s">
        <v>5</v>
      </c>
      <c r="H218" s="227"/>
      <c r="I218" s="227"/>
      <c r="J218" s="227"/>
      <c r="K218" s="227"/>
      <c r="L218" s="228"/>
      <c r="M218" s="222" t="s">
        <v>2</v>
      </c>
      <c r="N218" s="112" t="s">
        <v>3</v>
      </c>
      <c r="O218" s="224" t="s">
        <v>4</v>
      </c>
      <c r="P218" s="225"/>
      <c r="Q218" s="226" t="s">
        <v>6</v>
      </c>
      <c r="R218" s="227"/>
      <c r="S218" s="227"/>
      <c r="T218" s="227"/>
      <c r="U218" s="227"/>
      <c r="V218" s="228"/>
      <c r="W218" s="222" t="s">
        <v>2</v>
      </c>
      <c r="X218" s="112" t="s">
        <v>3</v>
      </c>
      <c r="Y218" s="224" t="s">
        <v>4</v>
      </c>
      <c r="Z218" s="225"/>
      <c r="AA218" s="226" t="s">
        <v>7</v>
      </c>
      <c r="AB218" s="227"/>
      <c r="AC218" s="227"/>
      <c r="AD218" s="227"/>
      <c r="AE218" s="227"/>
      <c r="AF218" s="228"/>
      <c r="AG218" s="222" t="s">
        <v>2</v>
      </c>
      <c r="AH218" s="112" t="s">
        <v>3</v>
      </c>
      <c r="AI218" s="224" t="s">
        <v>4</v>
      </c>
      <c r="AJ218" s="225"/>
      <c r="AK218" s="226" t="s">
        <v>8</v>
      </c>
      <c r="AL218" s="227"/>
      <c r="AM218" s="227"/>
      <c r="AN218" s="227"/>
      <c r="AO218" s="227"/>
      <c r="AP218" s="228"/>
    </row>
    <row r="219" spans="1:42" ht="28.5" customHeight="1" thickBot="1">
      <c r="B219" s="252"/>
      <c r="C219" s="223"/>
      <c r="D219" s="199" t="s">
        <v>9</v>
      </c>
      <c r="E219" s="199" t="s">
        <v>10</v>
      </c>
      <c r="F219" s="112" t="s">
        <v>9</v>
      </c>
      <c r="G219" s="229" t="s">
        <v>11</v>
      </c>
      <c r="H219" s="229"/>
      <c r="I219" s="71" t="s">
        <v>12</v>
      </c>
      <c r="J219" s="147">
        <v>0</v>
      </c>
      <c r="K219" s="71" t="s">
        <v>13</v>
      </c>
      <c r="L219" s="148">
        <v>0</v>
      </c>
      <c r="M219" s="223"/>
      <c r="N219" s="199" t="s">
        <v>9</v>
      </c>
      <c r="O219" s="199" t="s">
        <v>10</v>
      </c>
      <c r="P219" s="112" t="s">
        <v>9</v>
      </c>
      <c r="Q219" s="229" t="s">
        <v>11</v>
      </c>
      <c r="R219" s="229"/>
      <c r="S219" s="71" t="s">
        <v>12</v>
      </c>
      <c r="T219" s="147">
        <v>0</v>
      </c>
      <c r="U219" s="71" t="s">
        <v>13</v>
      </c>
      <c r="V219" s="148">
        <v>0</v>
      </c>
      <c r="W219" s="223"/>
      <c r="X219" s="199" t="s">
        <v>9</v>
      </c>
      <c r="Y219" s="199" t="s">
        <v>10</v>
      </c>
      <c r="Z219" s="112" t="s">
        <v>9</v>
      </c>
      <c r="AA219" s="229" t="s">
        <v>11</v>
      </c>
      <c r="AB219" s="229"/>
      <c r="AC219" s="71" t="s">
        <v>12</v>
      </c>
      <c r="AD219" s="147">
        <v>0</v>
      </c>
      <c r="AE219" s="71" t="s">
        <v>13</v>
      </c>
      <c r="AF219" s="148">
        <v>0</v>
      </c>
      <c r="AG219" s="223"/>
      <c r="AH219" s="199" t="s">
        <v>9</v>
      </c>
      <c r="AI219" s="199" t="s">
        <v>10</v>
      </c>
      <c r="AJ219" s="112" t="s">
        <v>9</v>
      </c>
      <c r="AK219" s="229" t="s">
        <v>11</v>
      </c>
      <c r="AL219" s="229"/>
      <c r="AM219" s="71" t="s">
        <v>12</v>
      </c>
      <c r="AN219" s="147">
        <v>0</v>
      </c>
      <c r="AO219" s="71" t="s">
        <v>13</v>
      </c>
      <c r="AP219" s="148">
        <v>0</v>
      </c>
    </row>
    <row r="220" spans="1:42" ht="28.5" customHeight="1">
      <c r="A220" s="132"/>
      <c r="B220" s="58" t="s">
        <v>69</v>
      </c>
      <c r="C220" s="230"/>
      <c r="D220" s="113"/>
      <c r="E220" s="58" t="s">
        <v>15</v>
      </c>
      <c r="F220" s="195" t="s">
        <v>16</v>
      </c>
      <c r="G220" s="69" t="s">
        <v>17</v>
      </c>
      <c r="H220" s="233"/>
      <c r="I220" s="233"/>
      <c r="J220" s="233"/>
      <c r="K220" s="69" t="s">
        <v>18</v>
      </c>
      <c r="L220" s="72"/>
      <c r="M220" s="230"/>
      <c r="N220" s="113" t="s">
        <v>16</v>
      </c>
      <c r="O220" s="58" t="s">
        <v>15</v>
      </c>
      <c r="P220" s="195" t="s">
        <v>16</v>
      </c>
      <c r="Q220" s="69" t="s">
        <v>17</v>
      </c>
      <c r="R220" s="233"/>
      <c r="S220" s="233"/>
      <c r="T220" s="233"/>
      <c r="U220" s="69" t="s">
        <v>18</v>
      </c>
      <c r="V220" s="72"/>
      <c r="W220" s="230"/>
      <c r="X220" s="113" t="s">
        <v>16</v>
      </c>
      <c r="Y220" s="58" t="s">
        <v>15</v>
      </c>
      <c r="Z220" s="195" t="s">
        <v>16</v>
      </c>
      <c r="AA220" s="69" t="s">
        <v>17</v>
      </c>
      <c r="AB220" s="233"/>
      <c r="AC220" s="233"/>
      <c r="AD220" s="233"/>
      <c r="AE220" s="69" t="s">
        <v>18</v>
      </c>
      <c r="AF220" s="72"/>
      <c r="AG220" s="230"/>
      <c r="AH220" s="113" t="s">
        <v>16</v>
      </c>
      <c r="AI220" s="58" t="s">
        <v>15</v>
      </c>
      <c r="AJ220" s="195" t="s">
        <v>16</v>
      </c>
      <c r="AK220" s="69" t="s">
        <v>17</v>
      </c>
      <c r="AL220" s="233"/>
      <c r="AM220" s="233"/>
      <c r="AN220" s="233"/>
      <c r="AO220" s="69" t="s">
        <v>18</v>
      </c>
      <c r="AP220" s="72"/>
    </row>
    <row r="221" spans="1:42" ht="28.5" customHeight="1">
      <c r="B221" s="114" t="str">
        <f>VLOOKUP(B220,tablaequipo,4)</f>
        <v>Grua</v>
      </c>
      <c r="C221" s="231"/>
      <c r="D221" s="113"/>
      <c r="E221" s="58" t="s">
        <v>15</v>
      </c>
      <c r="F221" s="195" t="s">
        <v>19</v>
      </c>
      <c r="G221" s="146" t="s">
        <v>20</v>
      </c>
      <c r="H221" s="234"/>
      <c r="I221" s="234"/>
      <c r="J221" s="234"/>
      <c r="K221" s="234"/>
      <c r="L221" s="235"/>
      <c r="M221" s="231"/>
      <c r="N221" s="113" t="s">
        <v>19</v>
      </c>
      <c r="O221" s="58" t="s">
        <v>15</v>
      </c>
      <c r="P221" s="195" t="s">
        <v>19</v>
      </c>
      <c r="Q221" s="146" t="s">
        <v>20</v>
      </c>
      <c r="R221" s="234"/>
      <c r="S221" s="234"/>
      <c r="T221" s="234"/>
      <c r="U221" s="234"/>
      <c r="V221" s="235"/>
      <c r="W221" s="231"/>
      <c r="X221" s="113" t="s">
        <v>19</v>
      </c>
      <c r="Y221" s="58" t="s">
        <v>15</v>
      </c>
      <c r="Z221" s="195" t="s">
        <v>19</v>
      </c>
      <c r="AA221" s="146" t="s">
        <v>20</v>
      </c>
      <c r="AB221" s="234"/>
      <c r="AC221" s="234"/>
      <c r="AD221" s="234"/>
      <c r="AE221" s="234"/>
      <c r="AF221" s="235"/>
      <c r="AG221" s="231"/>
      <c r="AH221" s="113" t="s">
        <v>19</v>
      </c>
      <c r="AI221" s="58" t="s">
        <v>15</v>
      </c>
      <c r="AJ221" s="195" t="s">
        <v>19</v>
      </c>
      <c r="AK221" s="146" t="s">
        <v>20</v>
      </c>
      <c r="AL221" s="234"/>
      <c r="AM221" s="234"/>
      <c r="AN221" s="234"/>
      <c r="AO221" s="234"/>
      <c r="AP221" s="235"/>
    </row>
    <row r="222" spans="1:42" ht="28.5" customHeight="1">
      <c r="B222" s="114" t="str">
        <f>VLOOKUP(B220,tablaequipo,6)</f>
        <v>GROVE</v>
      </c>
      <c r="C222" s="231"/>
      <c r="D222" s="113"/>
      <c r="E222" s="58" t="s">
        <v>15</v>
      </c>
      <c r="F222" s="195" t="s">
        <v>19</v>
      </c>
      <c r="G222" s="70" t="s">
        <v>21</v>
      </c>
      <c r="H222" s="236"/>
      <c r="I222" s="236"/>
      <c r="J222" s="236"/>
      <c r="K222" s="70" t="s">
        <v>22</v>
      </c>
      <c r="L222" s="68"/>
      <c r="M222" s="231"/>
      <c r="N222" s="113" t="s">
        <v>19</v>
      </c>
      <c r="O222" s="58" t="s">
        <v>15</v>
      </c>
      <c r="P222" s="195" t="s">
        <v>19</v>
      </c>
      <c r="Q222" s="70" t="s">
        <v>21</v>
      </c>
      <c r="R222" s="236"/>
      <c r="S222" s="236"/>
      <c r="T222" s="236"/>
      <c r="U222" s="70" t="s">
        <v>22</v>
      </c>
      <c r="V222" s="68"/>
      <c r="W222" s="231"/>
      <c r="X222" s="113" t="s">
        <v>19</v>
      </c>
      <c r="Y222" s="58" t="s">
        <v>15</v>
      </c>
      <c r="Z222" s="195" t="s">
        <v>19</v>
      </c>
      <c r="AA222" s="70" t="s">
        <v>21</v>
      </c>
      <c r="AB222" s="236"/>
      <c r="AC222" s="236"/>
      <c r="AD222" s="236"/>
      <c r="AE222" s="70" t="s">
        <v>22</v>
      </c>
      <c r="AF222" s="68"/>
      <c r="AG222" s="231"/>
      <c r="AH222" s="113" t="s">
        <v>19</v>
      </c>
      <c r="AI222" s="58" t="s">
        <v>15</v>
      </c>
      <c r="AJ222" s="195" t="s">
        <v>19</v>
      </c>
      <c r="AK222" s="70" t="s">
        <v>21</v>
      </c>
      <c r="AL222" s="236"/>
      <c r="AM222" s="236"/>
      <c r="AN222" s="236"/>
      <c r="AO222" s="70" t="s">
        <v>22</v>
      </c>
      <c r="AP222" s="68"/>
    </row>
    <row r="223" spans="1:42" ht="28.5" customHeight="1" thickBot="1">
      <c r="B223" s="114" t="str">
        <f>VLOOKUP(B220,tablaequipo,7)</f>
        <v>GMK 2035</v>
      </c>
      <c r="C223" s="231"/>
      <c r="D223" s="113"/>
      <c r="E223" s="58" t="s">
        <v>15</v>
      </c>
      <c r="F223" s="195" t="s">
        <v>19</v>
      </c>
      <c r="G223" s="146" t="s">
        <v>23</v>
      </c>
      <c r="H223" s="234"/>
      <c r="I223" s="234"/>
      <c r="J223" s="234"/>
      <c r="K223" s="234"/>
      <c r="L223" s="235"/>
      <c r="M223" s="231"/>
      <c r="N223" s="113" t="s">
        <v>19</v>
      </c>
      <c r="O223" s="58" t="s">
        <v>15</v>
      </c>
      <c r="P223" s="195" t="s">
        <v>19</v>
      </c>
      <c r="Q223" s="146" t="s">
        <v>23</v>
      </c>
      <c r="R223" s="234"/>
      <c r="S223" s="234"/>
      <c r="T223" s="234"/>
      <c r="U223" s="234"/>
      <c r="V223" s="235"/>
      <c r="W223" s="231"/>
      <c r="X223" s="113" t="s">
        <v>19</v>
      </c>
      <c r="Y223" s="58" t="s">
        <v>15</v>
      </c>
      <c r="Z223" s="195" t="s">
        <v>19</v>
      </c>
      <c r="AA223" s="146" t="s">
        <v>23</v>
      </c>
      <c r="AB223" s="234"/>
      <c r="AC223" s="234"/>
      <c r="AD223" s="234"/>
      <c r="AE223" s="234"/>
      <c r="AF223" s="235"/>
      <c r="AG223" s="231"/>
      <c r="AH223" s="113" t="s">
        <v>19</v>
      </c>
      <c r="AI223" s="58" t="s">
        <v>15</v>
      </c>
      <c r="AJ223" s="195" t="s">
        <v>19</v>
      </c>
      <c r="AK223" s="146" t="s">
        <v>23</v>
      </c>
      <c r="AL223" s="234"/>
      <c r="AM223" s="234"/>
      <c r="AN223" s="234"/>
      <c r="AO223" s="234"/>
      <c r="AP223" s="235"/>
    </row>
    <row r="224" spans="1:42" ht="28.5" customHeight="1" thickBot="1">
      <c r="B224" s="114" t="str">
        <f>VLOOKUP(B220,tablaequipo,8)</f>
        <v>AG897CG</v>
      </c>
      <c r="C224" s="231"/>
      <c r="D224" s="113"/>
      <c r="E224" s="58" t="s">
        <v>15</v>
      </c>
      <c r="F224" s="177" t="s">
        <v>24</v>
      </c>
      <c r="G224" s="70" t="s">
        <v>21</v>
      </c>
      <c r="H224" s="236"/>
      <c r="I224" s="236"/>
      <c r="J224" s="236"/>
      <c r="K224" s="70" t="s">
        <v>22</v>
      </c>
      <c r="L224" s="68"/>
      <c r="M224" s="231"/>
      <c r="N224" s="113" t="s">
        <v>19</v>
      </c>
      <c r="O224" s="58" t="s">
        <v>15</v>
      </c>
      <c r="P224" s="177" t="s">
        <v>24</v>
      </c>
      <c r="Q224" s="70" t="s">
        <v>21</v>
      </c>
      <c r="R224" s="236"/>
      <c r="S224" s="236"/>
      <c r="T224" s="236"/>
      <c r="U224" s="70" t="s">
        <v>22</v>
      </c>
      <c r="V224" s="68"/>
      <c r="W224" s="231"/>
      <c r="X224" s="113" t="s">
        <v>19</v>
      </c>
      <c r="Y224" s="58" t="s">
        <v>15</v>
      </c>
      <c r="Z224" s="177" t="s">
        <v>24</v>
      </c>
      <c r="AA224" s="70" t="s">
        <v>21</v>
      </c>
      <c r="AB224" s="236"/>
      <c r="AC224" s="236"/>
      <c r="AD224" s="236"/>
      <c r="AE224" s="70" t="s">
        <v>22</v>
      </c>
      <c r="AF224" s="68"/>
      <c r="AG224" s="231"/>
      <c r="AH224" s="113" t="s">
        <v>19</v>
      </c>
      <c r="AI224" s="58" t="s">
        <v>15</v>
      </c>
      <c r="AJ224" s="177" t="s">
        <v>24</v>
      </c>
      <c r="AK224" s="70" t="s">
        <v>21</v>
      </c>
      <c r="AL224" s="236"/>
      <c r="AM224" s="236"/>
      <c r="AN224" s="236"/>
      <c r="AO224" s="70" t="s">
        <v>22</v>
      </c>
      <c r="AP224" s="68"/>
    </row>
    <row r="225" spans="1:42" ht="28.5" customHeight="1" thickBot="1">
      <c r="B225" s="121">
        <v>0</v>
      </c>
      <c r="C225" s="231"/>
      <c r="D225" s="113"/>
      <c r="E225" s="58" t="s">
        <v>15</v>
      </c>
      <c r="F225" s="196" t="s">
        <v>16</v>
      </c>
      <c r="G225" s="140" t="s">
        <v>25</v>
      </c>
      <c r="H225" s="237" t="s">
        <v>26</v>
      </c>
      <c r="I225" s="238"/>
      <c r="J225" s="140" t="s">
        <v>27</v>
      </c>
      <c r="K225" s="237" t="s">
        <v>28</v>
      </c>
      <c r="L225" s="239"/>
      <c r="M225" s="231"/>
      <c r="N225" s="113" t="s">
        <v>19</v>
      </c>
      <c r="O225" s="58" t="s">
        <v>15</v>
      </c>
      <c r="P225" s="196" t="s">
        <v>16</v>
      </c>
      <c r="Q225" s="140" t="s">
        <v>25</v>
      </c>
      <c r="R225" s="237" t="s">
        <v>26</v>
      </c>
      <c r="S225" s="238"/>
      <c r="T225" s="140" t="s">
        <v>27</v>
      </c>
      <c r="U225" s="237" t="s">
        <v>28</v>
      </c>
      <c r="V225" s="239"/>
      <c r="W225" s="231"/>
      <c r="X225" s="113" t="s">
        <v>19</v>
      </c>
      <c r="Y225" s="58" t="s">
        <v>15</v>
      </c>
      <c r="Z225" s="196" t="s">
        <v>16</v>
      </c>
      <c r="AA225" s="140" t="s">
        <v>25</v>
      </c>
      <c r="AB225" s="237" t="s">
        <v>26</v>
      </c>
      <c r="AC225" s="238"/>
      <c r="AD225" s="140" t="s">
        <v>27</v>
      </c>
      <c r="AE225" s="237" t="s">
        <v>28</v>
      </c>
      <c r="AF225" s="239"/>
      <c r="AG225" s="231"/>
      <c r="AH225" s="113" t="s">
        <v>19</v>
      </c>
      <c r="AI225" s="58" t="s">
        <v>15</v>
      </c>
      <c r="AJ225" s="196" t="s">
        <v>16</v>
      </c>
      <c r="AK225" s="140" t="s">
        <v>25</v>
      </c>
      <c r="AL225" s="237" t="s">
        <v>26</v>
      </c>
      <c r="AM225" s="238"/>
      <c r="AN225" s="140" t="s">
        <v>27</v>
      </c>
      <c r="AO225" s="237" t="s">
        <v>28</v>
      </c>
      <c r="AP225" s="239"/>
    </row>
    <row r="226" spans="1:42" ht="28.5" customHeight="1" thickBot="1">
      <c r="B226" s="122" t="str">
        <f>VLOOKUP(B225,tablapermiso,3)</f>
        <v>Seleccione Gestion</v>
      </c>
      <c r="C226" s="232"/>
      <c r="D226" s="113"/>
      <c r="E226" s="58" t="s">
        <v>15</v>
      </c>
      <c r="F226" s="196" t="s">
        <v>19</v>
      </c>
      <c r="G226" s="141">
        <v>0</v>
      </c>
      <c r="H226" s="240" t="str">
        <f>VLOOKUP(G226,tablaestado,3)</f>
        <v>Seleccione Estado</v>
      </c>
      <c r="I226" s="240"/>
      <c r="J226" s="240"/>
      <c r="K226" s="240"/>
      <c r="L226" s="241"/>
      <c r="M226" s="232"/>
      <c r="N226" s="113" t="s">
        <v>19</v>
      </c>
      <c r="O226" s="58" t="s">
        <v>15</v>
      </c>
      <c r="P226" s="196" t="s">
        <v>19</v>
      </c>
      <c r="Q226" s="141">
        <v>0</v>
      </c>
      <c r="R226" s="240" t="str">
        <f>VLOOKUP(Q226,tablaestado,3)</f>
        <v>Seleccione Estado</v>
      </c>
      <c r="S226" s="240"/>
      <c r="T226" s="240"/>
      <c r="U226" s="240"/>
      <c r="V226" s="241"/>
      <c r="W226" s="232"/>
      <c r="X226" s="113" t="s">
        <v>19</v>
      </c>
      <c r="Y226" s="58" t="s">
        <v>15</v>
      </c>
      <c r="Z226" s="196" t="s">
        <v>19</v>
      </c>
      <c r="AA226" s="141">
        <v>0</v>
      </c>
      <c r="AB226" s="240" t="str">
        <f>VLOOKUP(AA226,tablaestado,3)</f>
        <v>Seleccione Estado</v>
      </c>
      <c r="AC226" s="240"/>
      <c r="AD226" s="240"/>
      <c r="AE226" s="240"/>
      <c r="AF226" s="241"/>
      <c r="AG226" s="232"/>
      <c r="AH226" s="113" t="s">
        <v>19</v>
      </c>
      <c r="AI226" s="58" t="s">
        <v>15</v>
      </c>
      <c r="AJ226" s="196" t="s">
        <v>19</v>
      </c>
      <c r="AK226" s="141">
        <v>0</v>
      </c>
      <c r="AL226" s="240" t="str">
        <f>VLOOKUP(AK226,tablaestado,3)</f>
        <v>Seleccione Estado</v>
      </c>
      <c r="AM226" s="240"/>
      <c r="AN226" s="240"/>
      <c r="AO226" s="240"/>
      <c r="AP226" s="241"/>
    </row>
    <row r="227" spans="1:42" ht="28.5" customHeight="1" thickBot="1">
      <c r="B227" s="251" t="s">
        <v>1</v>
      </c>
      <c r="C227" s="222" t="s">
        <v>2</v>
      </c>
      <c r="D227" s="112" t="s">
        <v>3</v>
      </c>
      <c r="E227" s="224" t="s">
        <v>4</v>
      </c>
      <c r="F227" s="225"/>
      <c r="G227" s="226" t="s">
        <v>5</v>
      </c>
      <c r="H227" s="227"/>
      <c r="I227" s="227"/>
      <c r="J227" s="227"/>
      <c r="K227" s="227"/>
      <c r="L227" s="228"/>
      <c r="M227" s="222" t="s">
        <v>2</v>
      </c>
      <c r="N227" s="112" t="s">
        <v>3</v>
      </c>
      <c r="O227" s="224" t="s">
        <v>4</v>
      </c>
      <c r="P227" s="225"/>
      <c r="Q227" s="226" t="s">
        <v>6</v>
      </c>
      <c r="R227" s="227"/>
      <c r="S227" s="227"/>
      <c r="T227" s="227"/>
      <c r="U227" s="227"/>
      <c r="V227" s="228"/>
      <c r="W227" s="222" t="s">
        <v>2</v>
      </c>
      <c r="X227" s="112" t="s">
        <v>3</v>
      </c>
      <c r="Y227" s="224" t="s">
        <v>4</v>
      </c>
      <c r="Z227" s="225"/>
      <c r="AA227" s="226" t="s">
        <v>7</v>
      </c>
      <c r="AB227" s="227"/>
      <c r="AC227" s="227"/>
      <c r="AD227" s="227"/>
      <c r="AE227" s="227"/>
      <c r="AF227" s="228"/>
      <c r="AG227" s="222" t="s">
        <v>2</v>
      </c>
      <c r="AH227" s="112" t="s">
        <v>3</v>
      </c>
      <c r="AI227" s="224" t="s">
        <v>4</v>
      </c>
      <c r="AJ227" s="225"/>
      <c r="AK227" s="226" t="s">
        <v>8</v>
      </c>
      <c r="AL227" s="227"/>
      <c r="AM227" s="227"/>
      <c r="AN227" s="227"/>
      <c r="AO227" s="227"/>
      <c r="AP227" s="228"/>
    </row>
    <row r="228" spans="1:42" ht="28.5" customHeight="1" thickBot="1">
      <c r="B228" s="252"/>
      <c r="C228" s="223"/>
      <c r="D228" s="199" t="s">
        <v>9</v>
      </c>
      <c r="E228" s="199" t="s">
        <v>10</v>
      </c>
      <c r="F228" s="112" t="s">
        <v>9</v>
      </c>
      <c r="G228" s="229" t="s">
        <v>11</v>
      </c>
      <c r="H228" s="229"/>
      <c r="I228" s="71" t="s">
        <v>12</v>
      </c>
      <c r="J228" s="147">
        <v>0</v>
      </c>
      <c r="K228" s="71" t="s">
        <v>13</v>
      </c>
      <c r="L228" s="148">
        <v>0</v>
      </c>
      <c r="M228" s="223"/>
      <c r="N228" s="199" t="s">
        <v>9</v>
      </c>
      <c r="O228" s="199" t="s">
        <v>10</v>
      </c>
      <c r="P228" s="112" t="s">
        <v>9</v>
      </c>
      <c r="Q228" s="229" t="s">
        <v>11</v>
      </c>
      <c r="R228" s="229"/>
      <c r="S228" s="71" t="s">
        <v>12</v>
      </c>
      <c r="T228" s="147">
        <v>0</v>
      </c>
      <c r="U228" s="71" t="s">
        <v>13</v>
      </c>
      <c r="V228" s="148">
        <v>0</v>
      </c>
      <c r="W228" s="223"/>
      <c r="X228" s="199" t="s">
        <v>9</v>
      </c>
      <c r="Y228" s="199" t="s">
        <v>10</v>
      </c>
      <c r="Z228" s="112" t="s">
        <v>9</v>
      </c>
      <c r="AA228" s="229" t="s">
        <v>11</v>
      </c>
      <c r="AB228" s="229"/>
      <c r="AC228" s="71" t="s">
        <v>12</v>
      </c>
      <c r="AD228" s="147">
        <v>0</v>
      </c>
      <c r="AE228" s="71" t="s">
        <v>13</v>
      </c>
      <c r="AF228" s="148">
        <v>0</v>
      </c>
      <c r="AG228" s="223"/>
      <c r="AH228" s="199" t="s">
        <v>9</v>
      </c>
      <c r="AI228" s="199" t="s">
        <v>10</v>
      </c>
      <c r="AJ228" s="112" t="s">
        <v>9</v>
      </c>
      <c r="AK228" s="229" t="s">
        <v>11</v>
      </c>
      <c r="AL228" s="229"/>
      <c r="AM228" s="71" t="s">
        <v>12</v>
      </c>
      <c r="AN228" s="147">
        <v>0</v>
      </c>
      <c r="AO228" s="71" t="s">
        <v>13</v>
      </c>
      <c r="AP228" s="148">
        <v>0</v>
      </c>
    </row>
    <row r="229" spans="1:42" ht="28.5" customHeight="1">
      <c r="A229" s="132"/>
      <c r="B229" s="58" t="s">
        <v>70</v>
      </c>
      <c r="C229" s="230"/>
      <c r="D229" s="113"/>
      <c r="E229" s="58" t="s">
        <v>15</v>
      </c>
      <c r="F229" s="195" t="s">
        <v>16</v>
      </c>
      <c r="G229" s="69" t="s">
        <v>17</v>
      </c>
      <c r="H229" s="233"/>
      <c r="I229" s="233"/>
      <c r="J229" s="233"/>
      <c r="K229" s="69" t="s">
        <v>18</v>
      </c>
      <c r="L229" s="72"/>
      <c r="M229" s="230"/>
      <c r="N229" s="113" t="s">
        <v>16</v>
      </c>
      <c r="O229" s="58" t="s">
        <v>15</v>
      </c>
      <c r="P229" s="195" t="s">
        <v>16</v>
      </c>
      <c r="Q229" s="69" t="s">
        <v>17</v>
      </c>
      <c r="R229" s="233"/>
      <c r="S229" s="233"/>
      <c r="T229" s="233"/>
      <c r="U229" s="69" t="s">
        <v>18</v>
      </c>
      <c r="V229" s="72"/>
      <c r="W229" s="230"/>
      <c r="X229" s="113" t="s">
        <v>16</v>
      </c>
      <c r="Y229" s="58" t="s">
        <v>15</v>
      </c>
      <c r="Z229" s="195" t="s">
        <v>16</v>
      </c>
      <c r="AA229" s="69" t="s">
        <v>17</v>
      </c>
      <c r="AB229" s="233"/>
      <c r="AC229" s="233"/>
      <c r="AD229" s="233"/>
      <c r="AE229" s="69" t="s">
        <v>18</v>
      </c>
      <c r="AF229" s="72"/>
      <c r="AG229" s="230"/>
      <c r="AH229" s="113" t="s">
        <v>16</v>
      </c>
      <c r="AI229" s="58" t="s">
        <v>15</v>
      </c>
      <c r="AJ229" s="195" t="s">
        <v>16</v>
      </c>
      <c r="AK229" s="69" t="s">
        <v>17</v>
      </c>
      <c r="AL229" s="233"/>
      <c r="AM229" s="233"/>
      <c r="AN229" s="233"/>
      <c r="AO229" s="69" t="s">
        <v>18</v>
      </c>
      <c r="AP229" s="72"/>
    </row>
    <row r="230" spans="1:42" ht="28.5" customHeight="1">
      <c r="B230" s="114" t="str">
        <f>VLOOKUP(B229,tablaequipo,4)</f>
        <v>Grua</v>
      </c>
      <c r="C230" s="231"/>
      <c r="D230" s="113"/>
      <c r="E230" s="58" t="s">
        <v>15</v>
      </c>
      <c r="F230" s="195" t="s">
        <v>19</v>
      </c>
      <c r="G230" s="146" t="s">
        <v>20</v>
      </c>
      <c r="H230" s="234"/>
      <c r="I230" s="234"/>
      <c r="J230" s="234"/>
      <c r="K230" s="234"/>
      <c r="L230" s="235"/>
      <c r="M230" s="231"/>
      <c r="N230" s="113" t="s">
        <v>19</v>
      </c>
      <c r="O230" s="58" t="s">
        <v>15</v>
      </c>
      <c r="P230" s="195" t="s">
        <v>19</v>
      </c>
      <c r="Q230" s="146" t="s">
        <v>20</v>
      </c>
      <c r="R230" s="234"/>
      <c r="S230" s="234"/>
      <c r="T230" s="234"/>
      <c r="U230" s="234"/>
      <c r="V230" s="235"/>
      <c r="W230" s="231"/>
      <c r="X230" s="113" t="s">
        <v>19</v>
      </c>
      <c r="Y230" s="58" t="s">
        <v>15</v>
      </c>
      <c r="Z230" s="195" t="s">
        <v>19</v>
      </c>
      <c r="AA230" s="146" t="s">
        <v>20</v>
      </c>
      <c r="AB230" s="234"/>
      <c r="AC230" s="234"/>
      <c r="AD230" s="234"/>
      <c r="AE230" s="234"/>
      <c r="AF230" s="235"/>
      <c r="AG230" s="231"/>
      <c r="AH230" s="113" t="s">
        <v>19</v>
      </c>
      <c r="AI230" s="58" t="s">
        <v>15</v>
      </c>
      <c r="AJ230" s="195" t="s">
        <v>19</v>
      </c>
      <c r="AK230" s="146" t="s">
        <v>20</v>
      </c>
      <c r="AL230" s="234"/>
      <c r="AM230" s="234"/>
      <c r="AN230" s="234"/>
      <c r="AO230" s="234"/>
      <c r="AP230" s="235"/>
    </row>
    <row r="231" spans="1:42" ht="28.5" customHeight="1">
      <c r="B231" s="114" t="str">
        <f>VLOOKUP(B229,tablaequipo,6)</f>
        <v>GROVE</v>
      </c>
      <c r="C231" s="231"/>
      <c r="D231" s="113"/>
      <c r="E231" s="58" t="s">
        <v>15</v>
      </c>
      <c r="F231" s="195" t="s">
        <v>19</v>
      </c>
      <c r="G231" s="70" t="s">
        <v>21</v>
      </c>
      <c r="H231" s="236"/>
      <c r="I231" s="236"/>
      <c r="J231" s="236"/>
      <c r="K231" s="70" t="s">
        <v>22</v>
      </c>
      <c r="L231" s="68"/>
      <c r="M231" s="231"/>
      <c r="N231" s="113" t="s">
        <v>19</v>
      </c>
      <c r="O231" s="58" t="s">
        <v>15</v>
      </c>
      <c r="P231" s="195" t="s">
        <v>19</v>
      </c>
      <c r="Q231" s="70" t="s">
        <v>21</v>
      </c>
      <c r="R231" s="236"/>
      <c r="S231" s="236"/>
      <c r="T231" s="236"/>
      <c r="U231" s="70" t="s">
        <v>22</v>
      </c>
      <c r="V231" s="68"/>
      <c r="W231" s="231"/>
      <c r="X231" s="113" t="s">
        <v>19</v>
      </c>
      <c r="Y231" s="58" t="s">
        <v>15</v>
      </c>
      <c r="Z231" s="195" t="s">
        <v>19</v>
      </c>
      <c r="AA231" s="70" t="s">
        <v>21</v>
      </c>
      <c r="AB231" s="236"/>
      <c r="AC231" s="236"/>
      <c r="AD231" s="236"/>
      <c r="AE231" s="70" t="s">
        <v>22</v>
      </c>
      <c r="AF231" s="68"/>
      <c r="AG231" s="231"/>
      <c r="AH231" s="113" t="s">
        <v>19</v>
      </c>
      <c r="AI231" s="58" t="s">
        <v>15</v>
      </c>
      <c r="AJ231" s="195" t="s">
        <v>19</v>
      </c>
      <c r="AK231" s="70" t="s">
        <v>21</v>
      </c>
      <c r="AL231" s="236"/>
      <c r="AM231" s="236"/>
      <c r="AN231" s="236"/>
      <c r="AO231" s="70" t="s">
        <v>22</v>
      </c>
      <c r="AP231" s="68"/>
    </row>
    <row r="232" spans="1:42" ht="28.5" customHeight="1" thickBot="1">
      <c r="B232" s="114" t="str">
        <f>VLOOKUP(B229,tablaequipo,7)</f>
        <v>GMK 5130</v>
      </c>
      <c r="C232" s="231"/>
      <c r="D232" s="113"/>
      <c r="E232" s="58" t="s">
        <v>15</v>
      </c>
      <c r="F232" s="195" t="s">
        <v>19</v>
      </c>
      <c r="G232" s="146" t="s">
        <v>23</v>
      </c>
      <c r="H232" s="234"/>
      <c r="I232" s="234"/>
      <c r="J232" s="234"/>
      <c r="K232" s="234"/>
      <c r="L232" s="235"/>
      <c r="M232" s="231"/>
      <c r="N232" s="113" t="s">
        <v>19</v>
      </c>
      <c r="O232" s="58" t="s">
        <v>15</v>
      </c>
      <c r="P232" s="195" t="s">
        <v>19</v>
      </c>
      <c r="Q232" s="146" t="s">
        <v>23</v>
      </c>
      <c r="R232" s="234"/>
      <c r="S232" s="234"/>
      <c r="T232" s="234"/>
      <c r="U232" s="234"/>
      <c r="V232" s="235"/>
      <c r="W232" s="231"/>
      <c r="X232" s="113" t="s">
        <v>19</v>
      </c>
      <c r="Y232" s="58" t="s">
        <v>15</v>
      </c>
      <c r="Z232" s="195" t="s">
        <v>19</v>
      </c>
      <c r="AA232" s="146" t="s">
        <v>23</v>
      </c>
      <c r="AB232" s="234"/>
      <c r="AC232" s="234"/>
      <c r="AD232" s="234"/>
      <c r="AE232" s="234"/>
      <c r="AF232" s="235"/>
      <c r="AG232" s="231"/>
      <c r="AH232" s="113" t="s">
        <v>19</v>
      </c>
      <c r="AI232" s="58" t="s">
        <v>15</v>
      </c>
      <c r="AJ232" s="195" t="s">
        <v>19</v>
      </c>
      <c r="AK232" s="146" t="s">
        <v>23</v>
      </c>
      <c r="AL232" s="234"/>
      <c r="AM232" s="234"/>
      <c r="AN232" s="234"/>
      <c r="AO232" s="234"/>
      <c r="AP232" s="235"/>
    </row>
    <row r="233" spans="1:42" ht="28.5" customHeight="1" thickBot="1">
      <c r="B233" s="114" t="str">
        <f>VLOOKUP(B229,tablaequipo,8)</f>
        <v>-</v>
      </c>
      <c r="C233" s="231"/>
      <c r="D233" s="113"/>
      <c r="E233" s="58" t="s">
        <v>15</v>
      </c>
      <c r="F233" s="177" t="s">
        <v>24</v>
      </c>
      <c r="G233" s="70" t="s">
        <v>21</v>
      </c>
      <c r="H233" s="236"/>
      <c r="I233" s="236"/>
      <c r="J233" s="236"/>
      <c r="K233" s="70" t="s">
        <v>22</v>
      </c>
      <c r="L233" s="68"/>
      <c r="M233" s="231"/>
      <c r="N233" s="113" t="s">
        <v>19</v>
      </c>
      <c r="O233" s="58" t="s">
        <v>15</v>
      </c>
      <c r="P233" s="177" t="s">
        <v>24</v>
      </c>
      <c r="Q233" s="70" t="s">
        <v>21</v>
      </c>
      <c r="R233" s="236"/>
      <c r="S233" s="236"/>
      <c r="T233" s="236"/>
      <c r="U233" s="70" t="s">
        <v>22</v>
      </c>
      <c r="V233" s="68"/>
      <c r="W233" s="231"/>
      <c r="X233" s="113" t="s">
        <v>19</v>
      </c>
      <c r="Y233" s="58" t="s">
        <v>15</v>
      </c>
      <c r="Z233" s="177" t="s">
        <v>24</v>
      </c>
      <c r="AA233" s="70" t="s">
        <v>21</v>
      </c>
      <c r="AB233" s="236"/>
      <c r="AC233" s="236"/>
      <c r="AD233" s="236"/>
      <c r="AE233" s="70" t="s">
        <v>22</v>
      </c>
      <c r="AF233" s="68"/>
      <c r="AG233" s="231"/>
      <c r="AH233" s="113" t="s">
        <v>19</v>
      </c>
      <c r="AI233" s="58" t="s">
        <v>15</v>
      </c>
      <c r="AJ233" s="177" t="s">
        <v>24</v>
      </c>
      <c r="AK233" s="70" t="s">
        <v>21</v>
      </c>
      <c r="AL233" s="236"/>
      <c r="AM233" s="236"/>
      <c r="AN233" s="236"/>
      <c r="AO233" s="70" t="s">
        <v>22</v>
      </c>
      <c r="AP233" s="68"/>
    </row>
    <row r="234" spans="1:42" ht="28.5" customHeight="1" thickBot="1">
      <c r="B234" s="121">
        <v>0</v>
      </c>
      <c r="C234" s="231"/>
      <c r="D234" s="113"/>
      <c r="E234" s="58" t="s">
        <v>15</v>
      </c>
      <c r="F234" s="196" t="s">
        <v>16</v>
      </c>
      <c r="G234" s="140" t="s">
        <v>25</v>
      </c>
      <c r="H234" s="237" t="s">
        <v>26</v>
      </c>
      <c r="I234" s="238"/>
      <c r="J234" s="140" t="s">
        <v>27</v>
      </c>
      <c r="K234" s="237" t="s">
        <v>28</v>
      </c>
      <c r="L234" s="239"/>
      <c r="M234" s="231"/>
      <c r="N234" s="113" t="s">
        <v>19</v>
      </c>
      <c r="O234" s="58" t="s">
        <v>15</v>
      </c>
      <c r="P234" s="196" t="s">
        <v>16</v>
      </c>
      <c r="Q234" s="140" t="s">
        <v>25</v>
      </c>
      <c r="R234" s="237" t="s">
        <v>26</v>
      </c>
      <c r="S234" s="238"/>
      <c r="T234" s="140" t="s">
        <v>27</v>
      </c>
      <c r="U234" s="237" t="s">
        <v>28</v>
      </c>
      <c r="V234" s="239"/>
      <c r="W234" s="231"/>
      <c r="X234" s="113" t="s">
        <v>19</v>
      </c>
      <c r="Y234" s="58" t="s">
        <v>15</v>
      </c>
      <c r="Z234" s="196" t="s">
        <v>16</v>
      </c>
      <c r="AA234" s="140" t="s">
        <v>25</v>
      </c>
      <c r="AB234" s="237" t="s">
        <v>26</v>
      </c>
      <c r="AC234" s="238"/>
      <c r="AD234" s="140" t="s">
        <v>27</v>
      </c>
      <c r="AE234" s="237" t="s">
        <v>28</v>
      </c>
      <c r="AF234" s="239"/>
      <c r="AG234" s="231"/>
      <c r="AH234" s="113" t="s">
        <v>19</v>
      </c>
      <c r="AI234" s="58" t="s">
        <v>15</v>
      </c>
      <c r="AJ234" s="196" t="s">
        <v>16</v>
      </c>
      <c r="AK234" s="140" t="s">
        <v>25</v>
      </c>
      <c r="AL234" s="237" t="s">
        <v>26</v>
      </c>
      <c r="AM234" s="238"/>
      <c r="AN234" s="140" t="s">
        <v>27</v>
      </c>
      <c r="AO234" s="237" t="s">
        <v>28</v>
      </c>
      <c r="AP234" s="239"/>
    </row>
    <row r="235" spans="1:42" ht="28.5" customHeight="1" thickBot="1">
      <c r="B235" s="122" t="str">
        <f>VLOOKUP(B234,tablapermiso,3)</f>
        <v>Seleccione Gestion</v>
      </c>
      <c r="C235" s="232"/>
      <c r="D235" s="113"/>
      <c r="E235" s="58" t="s">
        <v>15</v>
      </c>
      <c r="F235" s="196" t="s">
        <v>19</v>
      </c>
      <c r="G235" s="141">
        <v>0</v>
      </c>
      <c r="H235" s="240" t="str">
        <f>VLOOKUP(G235,tablaestado,3)</f>
        <v>Seleccione Estado</v>
      </c>
      <c r="I235" s="240"/>
      <c r="J235" s="240"/>
      <c r="K235" s="240"/>
      <c r="L235" s="241"/>
      <c r="M235" s="232"/>
      <c r="N235" s="113" t="s">
        <v>19</v>
      </c>
      <c r="O235" s="58" t="s">
        <v>15</v>
      </c>
      <c r="P235" s="196" t="s">
        <v>19</v>
      </c>
      <c r="Q235" s="141">
        <v>0</v>
      </c>
      <c r="R235" s="240" t="str">
        <f>VLOOKUP(Q235,tablaestado,3)</f>
        <v>Seleccione Estado</v>
      </c>
      <c r="S235" s="240"/>
      <c r="T235" s="240"/>
      <c r="U235" s="240"/>
      <c r="V235" s="241"/>
      <c r="W235" s="232"/>
      <c r="X235" s="113" t="s">
        <v>19</v>
      </c>
      <c r="Y235" s="58" t="s">
        <v>15</v>
      </c>
      <c r="Z235" s="196" t="s">
        <v>19</v>
      </c>
      <c r="AA235" s="141">
        <v>0</v>
      </c>
      <c r="AB235" s="240" t="str">
        <f>VLOOKUP(AA235,tablaestado,3)</f>
        <v>Seleccione Estado</v>
      </c>
      <c r="AC235" s="240"/>
      <c r="AD235" s="240"/>
      <c r="AE235" s="240"/>
      <c r="AF235" s="241"/>
      <c r="AG235" s="232"/>
      <c r="AH235" s="113" t="s">
        <v>19</v>
      </c>
      <c r="AI235" s="58" t="s">
        <v>15</v>
      </c>
      <c r="AJ235" s="196" t="s">
        <v>19</v>
      </c>
      <c r="AK235" s="141">
        <v>0</v>
      </c>
      <c r="AL235" s="240" t="str">
        <f>VLOOKUP(AK235,tablaestado,3)</f>
        <v>Seleccione Estado</v>
      </c>
      <c r="AM235" s="240"/>
      <c r="AN235" s="240"/>
      <c r="AO235" s="240"/>
      <c r="AP235" s="241"/>
    </row>
    <row r="236" spans="1:42" ht="28.5" customHeight="1" thickBot="1">
      <c r="B236" s="251" t="s">
        <v>1</v>
      </c>
      <c r="C236" s="222" t="s">
        <v>2</v>
      </c>
      <c r="D236" s="112" t="s">
        <v>3</v>
      </c>
      <c r="E236" s="224" t="s">
        <v>4</v>
      </c>
      <c r="F236" s="225"/>
      <c r="G236" s="226" t="s">
        <v>5</v>
      </c>
      <c r="H236" s="227"/>
      <c r="I236" s="227"/>
      <c r="J236" s="227"/>
      <c r="K236" s="227"/>
      <c r="L236" s="228"/>
      <c r="M236" s="222" t="s">
        <v>2</v>
      </c>
      <c r="N236" s="112" t="s">
        <v>3</v>
      </c>
      <c r="O236" s="224" t="s">
        <v>4</v>
      </c>
      <c r="P236" s="225"/>
      <c r="Q236" s="226" t="s">
        <v>6</v>
      </c>
      <c r="R236" s="227"/>
      <c r="S236" s="227"/>
      <c r="T236" s="227"/>
      <c r="U236" s="227"/>
      <c r="V236" s="228"/>
      <c r="W236" s="222" t="s">
        <v>2</v>
      </c>
      <c r="X236" s="112" t="s">
        <v>3</v>
      </c>
      <c r="Y236" s="224" t="s">
        <v>4</v>
      </c>
      <c r="Z236" s="225"/>
      <c r="AA236" s="226" t="s">
        <v>7</v>
      </c>
      <c r="AB236" s="227"/>
      <c r="AC236" s="227"/>
      <c r="AD236" s="227"/>
      <c r="AE236" s="227"/>
      <c r="AF236" s="228"/>
      <c r="AG236" s="222" t="s">
        <v>2</v>
      </c>
      <c r="AH236" s="112" t="s">
        <v>3</v>
      </c>
      <c r="AI236" s="224" t="s">
        <v>4</v>
      </c>
      <c r="AJ236" s="225"/>
      <c r="AK236" s="226" t="s">
        <v>8</v>
      </c>
      <c r="AL236" s="227"/>
      <c r="AM236" s="227"/>
      <c r="AN236" s="227"/>
      <c r="AO236" s="227"/>
      <c r="AP236" s="228"/>
    </row>
    <row r="237" spans="1:42" ht="28.5" customHeight="1" thickBot="1">
      <c r="B237" s="252"/>
      <c r="C237" s="223"/>
      <c r="D237" s="199" t="s">
        <v>9</v>
      </c>
      <c r="E237" s="199" t="s">
        <v>10</v>
      </c>
      <c r="F237" s="112" t="s">
        <v>9</v>
      </c>
      <c r="G237" s="229" t="s">
        <v>53</v>
      </c>
      <c r="H237" s="229"/>
      <c r="I237" s="71" t="s">
        <v>12</v>
      </c>
      <c r="J237" s="147">
        <v>0</v>
      </c>
      <c r="K237" s="71" t="s">
        <v>13</v>
      </c>
      <c r="L237" s="148">
        <v>0</v>
      </c>
      <c r="M237" s="223"/>
      <c r="N237" s="199" t="s">
        <v>9</v>
      </c>
      <c r="O237" s="199" t="s">
        <v>10</v>
      </c>
      <c r="P237" s="112" t="s">
        <v>9</v>
      </c>
      <c r="Q237" s="229" t="s">
        <v>11</v>
      </c>
      <c r="R237" s="229"/>
      <c r="S237" s="71" t="s">
        <v>12</v>
      </c>
      <c r="T237" s="147">
        <v>0</v>
      </c>
      <c r="U237" s="71" t="s">
        <v>13</v>
      </c>
      <c r="V237" s="148">
        <v>0</v>
      </c>
      <c r="W237" s="223"/>
      <c r="X237" s="199" t="s">
        <v>9</v>
      </c>
      <c r="Y237" s="199" t="s">
        <v>10</v>
      </c>
      <c r="Z237" s="112" t="s">
        <v>9</v>
      </c>
      <c r="AA237" s="229" t="s">
        <v>11</v>
      </c>
      <c r="AB237" s="229"/>
      <c r="AC237" s="71" t="s">
        <v>12</v>
      </c>
      <c r="AD237" s="147">
        <v>0</v>
      </c>
      <c r="AE237" s="71" t="s">
        <v>13</v>
      </c>
      <c r="AF237" s="148">
        <v>0</v>
      </c>
      <c r="AG237" s="223"/>
      <c r="AH237" s="199" t="s">
        <v>9</v>
      </c>
      <c r="AI237" s="199" t="s">
        <v>10</v>
      </c>
      <c r="AJ237" s="112" t="s">
        <v>9</v>
      </c>
      <c r="AK237" s="229" t="s">
        <v>11</v>
      </c>
      <c r="AL237" s="229"/>
      <c r="AM237" s="71" t="s">
        <v>12</v>
      </c>
      <c r="AN237" s="147">
        <v>0</v>
      </c>
      <c r="AO237" s="71" t="s">
        <v>13</v>
      </c>
      <c r="AP237" s="148">
        <v>0</v>
      </c>
    </row>
    <row r="238" spans="1:42" ht="28.5" customHeight="1">
      <c r="A238" s="132"/>
      <c r="B238" s="58" t="s">
        <v>71</v>
      </c>
      <c r="C238" s="230"/>
      <c r="D238" s="113" t="s">
        <v>72</v>
      </c>
      <c r="E238" s="58" t="s">
        <v>15</v>
      </c>
      <c r="F238" s="195" t="s">
        <v>16</v>
      </c>
      <c r="G238" s="69" t="s">
        <v>17</v>
      </c>
      <c r="H238" s="233" t="s">
        <v>73</v>
      </c>
      <c r="I238" s="233"/>
      <c r="J238" s="233"/>
      <c r="K238" s="69" t="s">
        <v>18</v>
      </c>
      <c r="L238" s="72">
        <v>0.27083333333333331</v>
      </c>
      <c r="M238" s="230"/>
      <c r="N238" s="113" t="s">
        <v>16</v>
      </c>
      <c r="O238" s="58" t="s">
        <v>15</v>
      </c>
      <c r="P238" s="195" t="s">
        <v>16</v>
      </c>
      <c r="Q238" s="69" t="s">
        <v>17</v>
      </c>
      <c r="R238" s="233"/>
      <c r="S238" s="233"/>
      <c r="T238" s="233"/>
      <c r="U238" s="69" t="s">
        <v>18</v>
      </c>
      <c r="V238" s="72"/>
      <c r="W238" s="230"/>
      <c r="X238" s="113" t="s">
        <v>16</v>
      </c>
      <c r="Y238" s="58" t="s">
        <v>15</v>
      </c>
      <c r="Z238" s="195" t="s">
        <v>16</v>
      </c>
      <c r="AA238" s="69" t="s">
        <v>17</v>
      </c>
      <c r="AB238" s="233"/>
      <c r="AC238" s="233"/>
      <c r="AD238" s="233"/>
      <c r="AE238" s="69" t="s">
        <v>18</v>
      </c>
      <c r="AF238" s="72"/>
      <c r="AG238" s="230"/>
      <c r="AH238" s="113" t="s">
        <v>16</v>
      </c>
      <c r="AI238" s="58" t="s">
        <v>15</v>
      </c>
      <c r="AJ238" s="195" t="s">
        <v>16</v>
      </c>
      <c r="AK238" s="69" t="s">
        <v>17</v>
      </c>
      <c r="AL238" s="233"/>
      <c r="AM238" s="233"/>
      <c r="AN238" s="233"/>
      <c r="AO238" s="69" t="s">
        <v>18</v>
      </c>
      <c r="AP238" s="72"/>
    </row>
    <row r="239" spans="1:42" ht="28.5" customHeight="1">
      <c r="B239" s="114" t="str">
        <f>VLOOKUP(B238,tablaequipo,4)</f>
        <v>Grua</v>
      </c>
      <c r="C239" s="231"/>
      <c r="D239" s="113"/>
      <c r="E239" s="58" t="s">
        <v>15</v>
      </c>
      <c r="F239" s="195" t="s">
        <v>19</v>
      </c>
      <c r="G239" s="146" t="s">
        <v>20</v>
      </c>
      <c r="H239" s="234" t="s">
        <v>74</v>
      </c>
      <c r="I239" s="234"/>
      <c r="J239" s="234"/>
      <c r="K239" s="234"/>
      <c r="L239" s="235"/>
      <c r="M239" s="231"/>
      <c r="N239" s="113" t="s">
        <v>19</v>
      </c>
      <c r="O239" s="58" t="s">
        <v>15</v>
      </c>
      <c r="P239" s="195" t="s">
        <v>19</v>
      </c>
      <c r="Q239" s="146" t="s">
        <v>20</v>
      </c>
      <c r="R239" s="234"/>
      <c r="S239" s="234"/>
      <c r="T239" s="234"/>
      <c r="U239" s="234"/>
      <c r="V239" s="235"/>
      <c r="W239" s="231"/>
      <c r="X239" s="113" t="s">
        <v>19</v>
      </c>
      <c r="Y239" s="58" t="s">
        <v>15</v>
      </c>
      <c r="Z239" s="195" t="s">
        <v>19</v>
      </c>
      <c r="AA239" s="146" t="s">
        <v>20</v>
      </c>
      <c r="AB239" s="234"/>
      <c r="AC239" s="234"/>
      <c r="AD239" s="234"/>
      <c r="AE239" s="234"/>
      <c r="AF239" s="235"/>
      <c r="AG239" s="231"/>
      <c r="AH239" s="113" t="s">
        <v>19</v>
      </c>
      <c r="AI239" s="58" t="s">
        <v>15</v>
      </c>
      <c r="AJ239" s="195" t="s">
        <v>19</v>
      </c>
      <c r="AK239" s="146" t="s">
        <v>20</v>
      </c>
      <c r="AL239" s="234"/>
      <c r="AM239" s="234"/>
      <c r="AN239" s="234"/>
      <c r="AO239" s="234"/>
      <c r="AP239" s="235"/>
    </row>
    <row r="240" spans="1:42" ht="28.5" customHeight="1">
      <c r="B240" s="114" t="str">
        <f>VLOOKUP(B238,tablaequipo,6)</f>
        <v>LIEBHERR</v>
      </c>
      <c r="C240" s="231"/>
      <c r="D240" s="113"/>
      <c r="E240" s="58" t="s">
        <v>15</v>
      </c>
      <c r="F240" s="195" t="s">
        <v>19</v>
      </c>
      <c r="G240" s="70" t="s">
        <v>21</v>
      </c>
      <c r="H240" s="236"/>
      <c r="I240" s="236"/>
      <c r="J240" s="236"/>
      <c r="K240" s="70" t="s">
        <v>22</v>
      </c>
      <c r="L240" s="68"/>
      <c r="M240" s="231"/>
      <c r="N240" s="113" t="s">
        <v>19</v>
      </c>
      <c r="O240" s="58" t="s">
        <v>15</v>
      </c>
      <c r="P240" s="195" t="s">
        <v>19</v>
      </c>
      <c r="Q240" s="70" t="s">
        <v>21</v>
      </c>
      <c r="R240" s="236"/>
      <c r="S240" s="236"/>
      <c r="T240" s="236"/>
      <c r="U240" s="70" t="s">
        <v>22</v>
      </c>
      <c r="V240" s="68"/>
      <c r="W240" s="231"/>
      <c r="X240" s="113" t="s">
        <v>19</v>
      </c>
      <c r="Y240" s="58" t="s">
        <v>15</v>
      </c>
      <c r="Z240" s="195" t="s">
        <v>19</v>
      </c>
      <c r="AA240" s="70" t="s">
        <v>21</v>
      </c>
      <c r="AB240" s="236"/>
      <c r="AC240" s="236"/>
      <c r="AD240" s="236"/>
      <c r="AE240" s="70" t="s">
        <v>22</v>
      </c>
      <c r="AF240" s="68"/>
      <c r="AG240" s="231"/>
      <c r="AH240" s="113" t="s">
        <v>19</v>
      </c>
      <c r="AI240" s="58" t="s">
        <v>15</v>
      </c>
      <c r="AJ240" s="195" t="s">
        <v>19</v>
      </c>
      <c r="AK240" s="70" t="s">
        <v>21</v>
      </c>
      <c r="AL240" s="236"/>
      <c r="AM240" s="236"/>
      <c r="AN240" s="236"/>
      <c r="AO240" s="70" t="s">
        <v>22</v>
      </c>
      <c r="AP240" s="68"/>
    </row>
    <row r="241" spans="1:42" ht="28.5" customHeight="1" thickBot="1">
      <c r="B241" s="114" t="str">
        <f>VLOOKUP(B238,tablaequipo,7)</f>
        <v>LTM -1060 3.1</v>
      </c>
      <c r="C241" s="231"/>
      <c r="D241" s="113"/>
      <c r="E241" s="58" t="s">
        <v>15</v>
      </c>
      <c r="F241" s="195" t="s">
        <v>19</v>
      </c>
      <c r="G241" s="146" t="s">
        <v>23</v>
      </c>
      <c r="H241" s="234"/>
      <c r="I241" s="234"/>
      <c r="J241" s="234"/>
      <c r="K241" s="234"/>
      <c r="L241" s="235"/>
      <c r="M241" s="231"/>
      <c r="N241" s="113" t="s">
        <v>19</v>
      </c>
      <c r="O241" s="58" t="s">
        <v>15</v>
      </c>
      <c r="P241" s="195" t="s">
        <v>19</v>
      </c>
      <c r="Q241" s="146" t="s">
        <v>23</v>
      </c>
      <c r="R241" s="234"/>
      <c r="S241" s="234"/>
      <c r="T241" s="234"/>
      <c r="U241" s="234"/>
      <c r="V241" s="235"/>
      <c r="W241" s="231"/>
      <c r="X241" s="113" t="s">
        <v>19</v>
      </c>
      <c r="Y241" s="58" t="s">
        <v>15</v>
      </c>
      <c r="Z241" s="195" t="s">
        <v>19</v>
      </c>
      <c r="AA241" s="146" t="s">
        <v>23</v>
      </c>
      <c r="AB241" s="234"/>
      <c r="AC241" s="234"/>
      <c r="AD241" s="234"/>
      <c r="AE241" s="234"/>
      <c r="AF241" s="235"/>
      <c r="AG241" s="231"/>
      <c r="AH241" s="113" t="s">
        <v>19</v>
      </c>
      <c r="AI241" s="58" t="s">
        <v>15</v>
      </c>
      <c r="AJ241" s="195" t="s">
        <v>19</v>
      </c>
      <c r="AK241" s="146" t="s">
        <v>23</v>
      </c>
      <c r="AL241" s="234"/>
      <c r="AM241" s="234"/>
      <c r="AN241" s="234"/>
      <c r="AO241" s="234"/>
      <c r="AP241" s="235"/>
    </row>
    <row r="242" spans="1:42" ht="28.5" customHeight="1" thickBot="1">
      <c r="B242" s="114" t="str">
        <f>VLOOKUP(B238,tablaequipo,8)</f>
        <v>-</v>
      </c>
      <c r="C242" s="231"/>
      <c r="D242" s="113"/>
      <c r="E242" s="58" t="s">
        <v>15</v>
      </c>
      <c r="F242" s="177" t="s">
        <v>24</v>
      </c>
      <c r="G242" s="70" t="s">
        <v>21</v>
      </c>
      <c r="H242" s="236"/>
      <c r="I242" s="236"/>
      <c r="J242" s="236"/>
      <c r="K242" s="70" t="s">
        <v>22</v>
      </c>
      <c r="L242" s="68"/>
      <c r="M242" s="231"/>
      <c r="N242" s="113" t="s">
        <v>19</v>
      </c>
      <c r="O242" s="58" t="s">
        <v>15</v>
      </c>
      <c r="P242" s="177" t="s">
        <v>24</v>
      </c>
      <c r="Q242" s="70" t="s">
        <v>21</v>
      </c>
      <c r="R242" s="236"/>
      <c r="S242" s="236"/>
      <c r="T242" s="236"/>
      <c r="U242" s="70" t="s">
        <v>22</v>
      </c>
      <c r="V242" s="68"/>
      <c r="W242" s="231"/>
      <c r="X242" s="113" t="s">
        <v>19</v>
      </c>
      <c r="Y242" s="58" t="s">
        <v>15</v>
      </c>
      <c r="Z242" s="177" t="s">
        <v>24</v>
      </c>
      <c r="AA242" s="70" t="s">
        <v>21</v>
      </c>
      <c r="AB242" s="236"/>
      <c r="AC242" s="236"/>
      <c r="AD242" s="236"/>
      <c r="AE242" s="70" t="s">
        <v>22</v>
      </c>
      <c r="AF242" s="68"/>
      <c r="AG242" s="231"/>
      <c r="AH242" s="113" t="s">
        <v>19</v>
      </c>
      <c r="AI242" s="58" t="s">
        <v>15</v>
      </c>
      <c r="AJ242" s="177" t="s">
        <v>24</v>
      </c>
      <c r="AK242" s="70" t="s">
        <v>21</v>
      </c>
      <c r="AL242" s="236"/>
      <c r="AM242" s="236"/>
      <c r="AN242" s="236"/>
      <c r="AO242" s="70" t="s">
        <v>22</v>
      </c>
      <c r="AP242" s="68"/>
    </row>
    <row r="243" spans="1:42" ht="28.5" customHeight="1" thickBot="1">
      <c r="B243" s="121">
        <v>0</v>
      </c>
      <c r="C243" s="231"/>
      <c r="D243" s="113"/>
      <c r="E243" s="58" t="s">
        <v>15</v>
      </c>
      <c r="F243" s="196" t="s">
        <v>16</v>
      </c>
      <c r="G243" s="140" t="s">
        <v>25</v>
      </c>
      <c r="H243" s="237" t="s">
        <v>26</v>
      </c>
      <c r="I243" s="238"/>
      <c r="J243" s="140" t="s">
        <v>27</v>
      </c>
      <c r="K243" s="237" t="s">
        <v>44</v>
      </c>
      <c r="L243" s="239"/>
      <c r="M243" s="231"/>
      <c r="N243" s="113" t="s">
        <v>19</v>
      </c>
      <c r="O243" s="58" t="s">
        <v>15</v>
      </c>
      <c r="P243" s="196" t="s">
        <v>16</v>
      </c>
      <c r="Q243" s="140" t="s">
        <v>25</v>
      </c>
      <c r="R243" s="237" t="s">
        <v>26</v>
      </c>
      <c r="S243" s="238"/>
      <c r="T243" s="140" t="s">
        <v>27</v>
      </c>
      <c r="U243" s="237" t="s">
        <v>28</v>
      </c>
      <c r="V243" s="239"/>
      <c r="W243" s="231"/>
      <c r="X243" s="113" t="s">
        <v>19</v>
      </c>
      <c r="Y243" s="58" t="s">
        <v>15</v>
      </c>
      <c r="Z243" s="196" t="s">
        <v>16</v>
      </c>
      <c r="AA243" s="140" t="s">
        <v>25</v>
      </c>
      <c r="AB243" s="237" t="s">
        <v>26</v>
      </c>
      <c r="AC243" s="238"/>
      <c r="AD243" s="140" t="s">
        <v>27</v>
      </c>
      <c r="AE243" s="237" t="s">
        <v>28</v>
      </c>
      <c r="AF243" s="239"/>
      <c r="AG243" s="231"/>
      <c r="AH243" s="113" t="s">
        <v>19</v>
      </c>
      <c r="AI243" s="58" t="s">
        <v>15</v>
      </c>
      <c r="AJ243" s="196" t="s">
        <v>16</v>
      </c>
      <c r="AK243" s="140" t="s">
        <v>25</v>
      </c>
      <c r="AL243" s="237" t="s">
        <v>26</v>
      </c>
      <c r="AM243" s="238"/>
      <c r="AN243" s="140" t="s">
        <v>27</v>
      </c>
      <c r="AO243" s="237" t="s">
        <v>28</v>
      </c>
      <c r="AP243" s="239"/>
    </row>
    <row r="244" spans="1:42" ht="28.5" customHeight="1" thickBot="1">
      <c r="B244" s="122" t="str">
        <f>VLOOKUP(B243,tablapermiso,3)</f>
        <v>Seleccione Gestion</v>
      </c>
      <c r="C244" s="232"/>
      <c r="D244" s="113"/>
      <c r="E244" s="58" t="s">
        <v>15</v>
      </c>
      <c r="F244" s="196" t="s">
        <v>19</v>
      </c>
      <c r="G244" s="141">
        <v>1</v>
      </c>
      <c r="H244" s="240" t="str">
        <f>VLOOKUP(G244,tablaestado,3)</f>
        <v>En ejecucion</v>
      </c>
      <c r="I244" s="240"/>
      <c r="J244" s="240"/>
      <c r="K244" s="240"/>
      <c r="L244" s="241"/>
      <c r="M244" s="232"/>
      <c r="N244" s="113" t="s">
        <v>19</v>
      </c>
      <c r="O244" s="58" t="s">
        <v>15</v>
      </c>
      <c r="P244" s="196" t="s">
        <v>19</v>
      </c>
      <c r="Q244" s="141">
        <v>0</v>
      </c>
      <c r="R244" s="240" t="str">
        <f>VLOOKUP(Q244,tablaestado,3)</f>
        <v>Seleccione Estado</v>
      </c>
      <c r="S244" s="240"/>
      <c r="T244" s="240"/>
      <c r="U244" s="240"/>
      <c r="V244" s="241"/>
      <c r="W244" s="232"/>
      <c r="X244" s="113" t="s">
        <v>19</v>
      </c>
      <c r="Y244" s="58" t="s">
        <v>15</v>
      </c>
      <c r="Z244" s="196" t="s">
        <v>19</v>
      </c>
      <c r="AA244" s="141">
        <v>0</v>
      </c>
      <c r="AB244" s="240" t="str">
        <f>VLOOKUP(AA244,tablaestado,3)</f>
        <v>Seleccione Estado</v>
      </c>
      <c r="AC244" s="240"/>
      <c r="AD244" s="240"/>
      <c r="AE244" s="240"/>
      <c r="AF244" s="241"/>
      <c r="AG244" s="232"/>
      <c r="AH244" s="113" t="s">
        <v>19</v>
      </c>
      <c r="AI244" s="58" t="s">
        <v>15</v>
      </c>
      <c r="AJ244" s="196" t="s">
        <v>19</v>
      </c>
      <c r="AK244" s="141">
        <v>0</v>
      </c>
      <c r="AL244" s="240" t="str">
        <f>VLOOKUP(AK244,tablaestado,3)</f>
        <v>Seleccione Estado</v>
      </c>
      <c r="AM244" s="240"/>
      <c r="AN244" s="240"/>
      <c r="AO244" s="240"/>
      <c r="AP244" s="241"/>
    </row>
    <row r="245" spans="1:42" ht="28.5" customHeight="1" thickBot="1">
      <c r="B245" s="251" t="s">
        <v>1</v>
      </c>
      <c r="C245" s="222" t="s">
        <v>2</v>
      </c>
      <c r="D245" s="112" t="s">
        <v>3</v>
      </c>
      <c r="E245" s="224" t="s">
        <v>4</v>
      </c>
      <c r="F245" s="225"/>
      <c r="G245" s="226" t="s">
        <v>5</v>
      </c>
      <c r="H245" s="227"/>
      <c r="I245" s="227"/>
      <c r="J245" s="227"/>
      <c r="K245" s="227"/>
      <c r="L245" s="228"/>
      <c r="M245" s="222" t="s">
        <v>2</v>
      </c>
      <c r="N245" s="112" t="s">
        <v>3</v>
      </c>
      <c r="O245" s="224" t="s">
        <v>4</v>
      </c>
      <c r="P245" s="225"/>
      <c r="Q245" s="226" t="s">
        <v>6</v>
      </c>
      <c r="R245" s="227"/>
      <c r="S245" s="227"/>
      <c r="T245" s="227"/>
      <c r="U245" s="227"/>
      <c r="V245" s="228"/>
      <c r="W245" s="222" t="s">
        <v>2</v>
      </c>
      <c r="X245" s="112" t="s">
        <v>3</v>
      </c>
      <c r="Y245" s="224" t="s">
        <v>4</v>
      </c>
      <c r="Z245" s="225"/>
      <c r="AA245" s="226" t="s">
        <v>7</v>
      </c>
      <c r="AB245" s="227"/>
      <c r="AC245" s="227"/>
      <c r="AD245" s="227"/>
      <c r="AE245" s="227"/>
      <c r="AF245" s="228"/>
      <c r="AG245" s="222" t="s">
        <v>2</v>
      </c>
      <c r="AH245" s="112" t="s">
        <v>3</v>
      </c>
      <c r="AI245" s="224" t="s">
        <v>4</v>
      </c>
      <c r="AJ245" s="225"/>
      <c r="AK245" s="226" t="s">
        <v>8</v>
      </c>
      <c r="AL245" s="227"/>
      <c r="AM245" s="227"/>
      <c r="AN245" s="227"/>
      <c r="AO245" s="227"/>
      <c r="AP245" s="228"/>
    </row>
    <row r="246" spans="1:42" ht="28.5" customHeight="1" thickBot="1">
      <c r="B246" s="252"/>
      <c r="C246" s="223"/>
      <c r="D246" s="199" t="s">
        <v>9</v>
      </c>
      <c r="E246" s="199" t="s">
        <v>10</v>
      </c>
      <c r="F246" s="112" t="s">
        <v>9</v>
      </c>
      <c r="G246" s="229" t="s">
        <v>11</v>
      </c>
      <c r="H246" s="229"/>
      <c r="I246" s="71" t="s">
        <v>12</v>
      </c>
      <c r="J246" s="147">
        <v>0</v>
      </c>
      <c r="K246" s="71" t="s">
        <v>13</v>
      </c>
      <c r="L246" s="148">
        <v>0</v>
      </c>
      <c r="M246" s="223"/>
      <c r="N246" s="199" t="s">
        <v>9</v>
      </c>
      <c r="O246" s="199" t="s">
        <v>10</v>
      </c>
      <c r="P246" s="112" t="s">
        <v>9</v>
      </c>
      <c r="Q246" s="229" t="s">
        <v>11</v>
      </c>
      <c r="R246" s="229"/>
      <c r="S246" s="71" t="s">
        <v>12</v>
      </c>
      <c r="T246" s="147">
        <v>0</v>
      </c>
      <c r="U246" s="71" t="s">
        <v>13</v>
      </c>
      <c r="V246" s="148">
        <v>0</v>
      </c>
      <c r="W246" s="223"/>
      <c r="X246" s="199" t="s">
        <v>9</v>
      </c>
      <c r="Y246" s="199" t="s">
        <v>10</v>
      </c>
      <c r="Z246" s="112" t="s">
        <v>9</v>
      </c>
      <c r="AA246" s="229" t="s">
        <v>11</v>
      </c>
      <c r="AB246" s="229"/>
      <c r="AC246" s="71" t="s">
        <v>12</v>
      </c>
      <c r="AD246" s="147">
        <v>0</v>
      </c>
      <c r="AE246" s="71" t="s">
        <v>13</v>
      </c>
      <c r="AF246" s="148">
        <v>0</v>
      </c>
      <c r="AG246" s="223"/>
      <c r="AH246" s="199" t="s">
        <v>9</v>
      </c>
      <c r="AI246" s="199" t="s">
        <v>10</v>
      </c>
      <c r="AJ246" s="112" t="s">
        <v>9</v>
      </c>
      <c r="AK246" s="229" t="s">
        <v>11</v>
      </c>
      <c r="AL246" s="229"/>
      <c r="AM246" s="71" t="s">
        <v>12</v>
      </c>
      <c r="AN246" s="147">
        <v>0</v>
      </c>
      <c r="AO246" s="71" t="s">
        <v>13</v>
      </c>
      <c r="AP246" s="148">
        <v>0</v>
      </c>
    </row>
    <row r="247" spans="1:42" ht="28.5" customHeight="1">
      <c r="A247" s="132"/>
      <c r="B247" s="58" t="s">
        <v>75</v>
      </c>
      <c r="C247" s="230"/>
      <c r="D247" s="113" t="s">
        <v>16</v>
      </c>
      <c r="E247" s="58" t="s">
        <v>15</v>
      </c>
      <c r="F247" s="195" t="s">
        <v>16</v>
      </c>
      <c r="G247" s="69" t="s">
        <v>17</v>
      </c>
      <c r="H247" s="233"/>
      <c r="I247" s="233"/>
      <c r="J247" s="233"/>
      <c r="K247" s="69" t="s">
        <v>18</v>
      </c>
      <c r="L247" s="72"/>
      <c r="M247" s="230"/>
      <c r="N247" s="113" t="s">
        <v>16</v>
      </c>
      <c r="O247" s="58" t="s">
        <v>15</v>
      </c>
      <c r="P247" s="195" t="s">
        <v>16</v>
      </c>
      <c r="Q247" s="69" t="s">
        <v>17</v>
      </c>
      <c r="R247" s="233"/>
      <c r="S247" s="233"/>
      <c r="T247" s="233"/>
      <c r="U247" s="69" t="s">
        <v>18</v>
      </c>
      <c r="V247" s="72"/>
      <c r="W247" s="230"/>
      <c r="X247" s="113" t="s">
        <v>16</v>
      </c>
      <c r="Y247" s="58" t="s">
        <v>15</v>
      </c>
      <c r="Z247" s="195" t="s">
        <v>16</v>
      </c>
      <c r="AA247" s="69" t="s">
        <v>17</v>
      </c>
      <c r="AB247" s="233"/>
      <c r="AC247" s="233"/>
      <c r="AD247" s="233"/>
      <c r="AE247" s="69" t="s">
        <v>18</v>
      </c>
      <c r="AF247" s="72"/>
      <c r="AG247" s="230"/>
      <c r="AH247" s="113" t="s">
        <v>16</v>
      </c>
      <c r="AI247" s="58" t="s">
        <v>15</v>
      </c>
      <c r="AJ247" s="195" t="s">
        <v>16</v>
      </c>
      <c r="AK247" s="69" t="s">
        <v>17</v>
      </c>
      <c r="AL247" s="233"/>
      <c r="AM247" s="233"/>
      <c r="AN247" s="233"/>
      <c r="AO247" s="69" t="s">
        <v>18</v>
      </c>
      <c r="AP247" s="72"/>
    </row>
    <row r="248" spans="1:42" ht="28.5" customHeight="1">
      <c r="B248" s="114" t="str">
        <f>VLOOKUP(B247,tablaequipo,4)</f>
        <v>Grua</v>
      </c>
      <c r="C248" s="231"/>
      <c r="D248" s="113" t="s">
        <v>19</v>
      </c>
      <c r="E248" s="58" t="s">
        <v>15</v>
      </c>
      <c r="F248" s="195" t="s">
        <v>19</v>
      </c>
      <c r="G248" s="146" t="s">
        <v>20</v>
      </c>
      <c r="H248" s="234"/>
      <c r="I248" s="234"/>
      <c r="J248" s="234"/>
      <c r="K248" s="234"/>
      <c r="L248" s="235"/>
      <c r="M248" s="231"/>
      <c r="N248" s="113" t="s">
        <v>19</v>
      </c>
      <c r="O248" s="58" t="s">
        <v>15</v>
      </c>
      <c r="P248" s="195" t="s">
        <v>19</v>
      </c>
      <c r="Q248" s="146" t="s">
        <v>20</v>
      </c>
      <c r="R248" s="234"/>
      <c r="S248" s="234"/>
      <c r="T248" s="234"/>
      <c r="U248" s="234"/>
      <c r="V248" s="235"/>
      <c r="W248" s="231"/>
      <c r="X248" s="113" t="s">
        <v>19</v>
      </c>
      <c r="Y248" s="58" t="s">
        <v>15</v>
      </c>
      <c r="Z248" s="195" t="s">
        <v>19</v>
      </c>
      <c r="AA248" s="146" t="s">
        <v>20</v>
      </c>
      <c r="AB248" s="234"/>
      <c r="AC248" s="234"/>
      <c r="AD248" s="234"/>
      <c r="AE248" s="234"/>
      <c r="AF248" s="235"/>
      <c r="AG248" s="231"/>
      <c r="AH248" s="113" t="s">
        <v>19</v>
      </c>
      <c r="AI248" s="58" t="s">
        <v>15</v>
      </c>
      <c r="AJ248" s="195" t="s">
        <v>19</v>
      </c>
      <c r="AK248" s="146" t="s">
        <v>20</v>
      </c>
      <c r="AL248" s="234"/>
      <c r="AM248" s="234"/>
      <c r="AN248" s="234"/>
      <c r="AO248" s="234"/>
      <c r="AP248" s="235"/>
    </row>
    <row r="249" spans="1:42" ht="28.5" customHeight="1">
      <c r="B249" s="114" t="str">
        <f>VLOOKUP(B247,tablaequipo,6)</f>
        <v>LIEBHERR</v>
      </c>
      <c r="C249" s="231"/>
      <c r="D249" s="113" t="s">
        <v>19</v>
      </c>
      <c r="E249" s="58" t="s">
        <v>15</v>
      </c>
      <c r="F249" s="195" t="s">
        <v>19</v>
      </c>
      <c r="G249" s="70" t="s">
        <v>21</v>
      </c>
      <c r="H249" s="236"/>
      <c r="I249" s="236"/>
      <c r="J249" s="236"/>
      <c r="K249" s="70" t="s">
        <v>22</v>
      </c>
      <c r="L249" s="68"/>
      <c r="M249" s="231"/>
      <c r="N249" s="113" t="s">
        <v>19</v>
      </c>
      <c r="O249" s="58" t="s">
        <v>15</v>
      </c>
      <c r="P249" s="195" t="s">
        <v>19</v>
      </c>
      <c r="Q249" s="70" t="s">
        <v>21</v>
      </c>
      <c r="R249" s="236"/>
      <c r="S249" s="236"/>
      <c r="T249" s="236"/>
      <c r="U249" s="70" t="s">
        <v>22</v>
      </c>
      <c r="V249" s="68"/>
      <c r="W249" s="231"/>
      <c r="X249" s="113" t="s">
        <v>19</v>
      </c>
      <c r="Y249" s="58" t="s">
        <v>15</v>
      </c>
      <c r="Z249" s="195" t="s">
        <v>19</v>
      </c>
      <c r="AA249" s="70" t="s">
        <v>21</v>
      </c>
      <c r="AB249" s="236"/>
      <c r="AC249" s="236"/>
      <c r="AD249" s="236"/>
      <c r="AE249" s="70" t="s">
        <v>22</v>
      </c>
      <c r="AF249" s="68"/>
      <c r="AG249" s="231"/>
      <c r="AH249" s="113" t="s">
        <v>19</v>
      </c>
      <c r="AI249" s="58" t="s">
        <v>15</v>
      </c>
      <c r="AJ249" s="195" t="s">
        <v>19</v>
      </c>
      <c r="AK249" s="70" t="s">
        <v>21</v>
      </c>
      <c r="AL249" s="236"/>
      <c r="AM249" s="236"/>
      <c r="AN249" s="236"/>
      <c r="AO249" s="70" t="s">
        <v>22</v>
      </c>
      <c r="AP249" s="68"/>
    </row>
    <row r="250" spans="1:42" ht="28.5" customHeight="1" thickBot="1">
      <c r="B250" s="114" t="str">
        <f>VLOOKUP(B247,tablaequipo,7)</f>
        <v>LTM1070</v>
      </c>
      <c r="C250" s="231"/>
      <c r="D250" s="113" t="s">
        <v>19</v>
      </c>
      <c r="E250" s="58" t="s">
        <v>15</v>
      </c>
      <c r="F250" s="195" t="s">
        <v>19</v>
      </c>
      <c r="G250" s="146" t="s">
        <v>23</v>
      </c>
      <c r="H250" s="234"/>
      <c r="I250" s="234"/>
      <c r="J250" s="234"/>
      <c r="K250" s="234"/>
      <c r="L250" s="235"/>
      <c r="M250" s="231"/>
      <c r="N250" s="113" t="s">
        <v>19</v>
      </c>
      <c r="O250" s="58" t="s">
        <v>15</v>
      </c>
      <c r="P250" s="195" t="s">
        <v>19</v>
      </c>
      <c r="Q250" s="146" t="s">
        <v>23</v>
      </c>
      <c r="R250" s="234"/>
      <c r="S250" s="234"/>
      <c r="T250" s="234"/>
      <c r="U250" s="234"/>
      <c r="V250" s="235"/>
      <c r="W250" s="231"/>
      <c r="X250" s="113" t="s">
        <v>19</v>
      </c>
      <c r="Y250" s="58" t="s">
        <v>15</v>
      </c>
      <c r="Z250" s="195" t="s">
        <v>19</v>
      </c>
      <c r="AA250" s="146" t="s">
        <v>23</v>
      </c>
      <c r="AB250" s="234"/>
      <c r="AC250" s="234"/>
      <c r="AD250" s="234"/>
      <c r="AE250" s="234"/>
      <c r="AF250" s="235"/>
      <c r="AG250" s="231"/>
      <c r="AH250" s="113" t="s">
        <v>19</v>
      </c>
      <c r="AI250" s="58" t="s">
        <v>15</v>
      </c>
      <c r="AJ250" s="195" t="s">
        <v>19</v>
      </c>
      <c r="AK250" s="146" t="s">
        <v>23</v>
      </c>
      <c r="AL250" s="234"/>
      <c r="AM250" s="234"/>
      <c r="AN250" s="234"/>
      <c r="AO250" s="234"/>
      <c r="AP250" s="235"/>
    </row>
    <row r="251" spans="1:42" ht="28.5" customHeight="1" thickBot="1">
      <c r="B251" s="114" t="str">
        <f>VLOOKUP(B247,tablaequipo,8)</f>
        <v>ZZ001UC</v>
      </c>
      <c r="C251" s="231"/>
      <c r="D251" s="113" t="s">
        <v>19</v>
      </c>
      <c r="E251" s="58" t="s">
        <v>15</v>
      </c>
      <c r="F251" s="177" t="s">
        <v>24</v>
      </c>
      <c r="G251" s="70" t="s">
        <v>21</v>
      </c>
      <c r="H251" s="236"/>
      <c r="I251" s="236"/>
      <c r="J251" s="236"/>
      <c r="K251" s="70" t="s">
        <v>22</v>
      </c>
      <c r="L251" s="68"/>
      <c r="M251" s="231"/>
      <c r="N251" s="113" t="s">
        <v>19</v>
      </c>
      <c r="O251" s="58" t="s">
        <v>15</v>
      </c>
      <c r="P251" s="177" t="s">
        <v>24</v>
      </c>
      <c r="Q251" s="70" t="s">
        <v>21</v>
      </c>
      <c r="R251" s="236"/>
      <c r="S251" s="236"/>
      <c r="T251" s="236"/>
      <c r="U251" s="70" t="s">
        <v>22</v>
      </c>
      <c r="V251" s="68"/>
      <c r="W251" s="231"/>
      <c r="X251" s="113" t="s">
        <v>19</v>
      </c>
      <c r="Y251" s="58" t="s">
        <v>15</v>
      </c>
      <c r="Z251" s="177" t="s">
        <v>24</v>
      </c>
      <c r="AA251" s="70" t="s">
        <v>21</v>
      </c>
      <c r="AB251" s="236"/>
      <c r="AC251" s="236"/>
      <c r="AD251" s="236"/>
      <c r="AE251" s="70" t="s">
        <v>22</v>
      </c>
      <c r="AF251" s="68"/>
      <c r="AG251" s="231"/>
      <c r="AH251" s="113" t="s">
        <v>19</v>
      </c>
      <c r="AI251" s="58" t="s">
        <v>15</v>
      </c>
      <c r="AJ251" s="177" t="s">
        <v>24</v>
      </c>
      <c r="AK251" s="70" t="s">
        <v>21</v>
      </c>
      <c r="AL251" s="236"/>
      <c r="AM251" s="236"/>
      <c r="AN251" s="236"/>
      <c r="AO251" s="70" t="s">
        <v>22</v>
      </c>
      <c r="AP251" s="68"/>
    </row>
    <row r="252" spans="1:42" ht="28.5" customHeight="1" thickBot="1">
      <c r="B252" s="121">
        <v>0</v>
      </c>
      <c r="C252" s="231"/>
      <c r="D252" s="113" t="s">
        <v>19</v>
      </c>
      <c r="E252" s="58" t="s">
        <v>15</v>
      </c>
      <c r="F252" s="196" t="s">
        <v>16</v>
      </c>
      <c r="G252" s="140" t="s">
        <v>25</v>
      </c>
      <c r="H252" s="237" t="s">
        <v>26</v>
      </c>
      <c r="I252" s="238"/>
      <c r="J252" s="140" t="s">
        <v>27</v>
      </c>
      <c r="K252" s="237" t="s">
        <v>28</v>
      </c>
      <c r="L252" s="239"/>
      <c r="M252" s="231"/>
      <c r="N252" s="113" t="s">
        <v>19</v>
      </c>
      <c r="O252" s="58" t="s">
        <v>15</v>
      </c>
      <c r="P252" s="196" t="s">
        <v>16</v>
      </c>
      <c r="Q252" s="140" t="s">
        <v>25</v>
      </c>
      <c r="R252" s="237" t="s">
        <v>26</v>
      </c>
      <c r="S252" s="238"/>
      <c r="T252" s="140" t="s">
        <v>27</v>
      </c>
      <c r="U252" s="237" t="s">
        <v>28</v>
      </c>
      <c r="V252" s="239"/>
      <c r="W252" s="231"/>
      <c r="X252" s="113" t="s">
        <v>19</v>
      </c>
      <c r="Y252" s="58" t="s">
        <v>15</v>
      </c>
      <c r="Z252" s="196" t="s">
        <v>16</v>
      </c>
      <c r="AA252" s="140" t="s">
        <v>25</v>
      </c>
      <c r="AB252" s="237" t="s">
        <v>26</v>
      </c>
      <c r="AC252" s="238"/>
      <c r="AD252" s="140" t="s">
        <v>27</v>
      </c>
      <c r="AE252" s="237" t="s">
        <v>28</v>
      </c>
      <c r="AF252" s="239"/>
      <c r="AG252" s="231"/>
      <c r="AH252" s="113" t="s">
        <v>19</v>
      </c>
      <c r="AI252" s="58" t="s">
        <v>15</v>
      </c>
      <c r="AJ252" s="196" t="s">
        <v>16</v>
      </c>
      <c r="AK252" s="140" t="s">
        <v>25</v>
      </c>
      <c r="AL252" s="237" t="s">
        <v>26</v>
      </c>
      <c r="AM252" s="238"/>
      <c r="AN252" s="140" t="s">
        <v>27</v>
      </c>
      <c r="AO252" s="237" t="s">
        <v>28</v>
      </c>
      <c r="AP252" s="239"/>
    </row>
    <row r="253" spans="1:42" ht="28.5" customHeight="1" thickBot="1">
      <c r="B253" s="122" t="str">
        <f>VLOOKUP(B252,tablapermiso,3)</f>
        <v>Seleccione Gestion</v>
      </c>
      <c r="C253" s="232"/>
      <c r="D253" s="113" t="s">
        <v>19</v>
      </c>
      <c r="E253" s="58" t="s">
        <v>15</v>
      </c>
      <c r="F253" s="196" t="s">
        <v>19</v>
      </c>
      <c r="G253" s="141">
        <v>0</v>
      </c>
      <c r="H253" s="240" t="str">
        <f>VLOOKUP(G253,tablaestado,3)</f>
        <v>Seleccione Estado</v>
      </c>
      <c r="I253" s="240"/>
      <c r="J253" s="240"/>
      <c r="K253" s="240"/>
      <c r="L253" s="241"/>
      <c r="M253" s="232"/>
      <c r="N253" s="113" t="s">
        <v>19</v>
      </c>
      <c r="O253" s="58" t="s">
        <v>15</v>
      </c>
      <c r="P253" s="196" t="s">
        <v>19</v>
      </c>
      <c r="Q253" s="141">
        <v>0</v>
      </c>
      <c r="R253" s="240" t="str">
        <f>VLOOKUP(Q253,tablaestado,3)</f>
        <v>Seleccione Estado</v>
      </c>
      <c r="S253" s="240"/>
      <c r="T253" s="240"/>
      <c r="U253" s="240"/>
      <c r="V253" s="241"/>
      <c r="W253" s="232"/>
      <c r="X253" s="113" t="s">
        <v>19</v>
      </c>
      <c r="Y253" s="58" t="s">
        <v>15</v>
      </c>
      <c r="Z253" s="196" t="s">
        <v>19</v>
      </c>
      <c r="AA253" s="141">
        <v>0</v>
      </c>
      <c r="AB253" s="240" t="str">
        <f>VLOOKUP(AA253,tablaestado,3)</f>
        <v>Seleccione Estado</v>
      </c>
      <c r="AC253" s="240"/>
      <c r="AD253" s="240"/>
      <c r="AE253" s="240"/>
      <c r="AF253" s="241"/>
      <c r="AG253" s="232"/>
      <c r="AH253" s="113" t="s">
        <v>19</v>
      </c>
      <c r="AI253" s="58" t="s">
        <v>15</v>
      </c>
      <c r="AJ253" s="196" t="s">
        <v>19</v>
      </c>
      <c r="AK253" s="141">
        <v>0</v>
      </c>
      <c r="AL253" s="240" t="str">
        <f>VLOOKUP(AK253,tablaestado,3)</f>
        <v>Seleccione Estado</v>
      </c>
      <c r="AM253" s="240"/>
      <c r="AN253" s="240"/>
      <c r="AO253" s="240"/>
      <c r="AP253" s="241"/>
    </row>
    <row r="254" spans="1:42" ht="28.5" customHeight="1" thickBot="1">
      <c r="B254" s="251" t="s">
        <v>1</v>
      </c>
      <c r="C254" s="222" t="s">
        <v>2</v>
      </c>
      <c r="D254" s="112" t="s">
        <v>3</v>
      </c>
      <c r="E254" s="224" t="s">
        <v>4</v>
      </c>
      <c r="F254" s="225"/>
      <c r="G254" s="226" t="s">
        <v>5</v>
      </c>
      <c r="H254" s="227"/>
      <c r="I254" s="227"/>
      <c r="J254" s="227"/>
      <c r="K254" s="227"/>
      <c r="L254" s="228"/>
      <c r="M254" s="222" t="s">
        <v>2</v>
      </c>
      <c r="N254" s="112" t="s">
        <v>3</v>
      </c>
      <c r="O254" s="224" t="s">
        <v>4</v>
      </c>
      <c r="P254" s="225"/>
      <c r="Q254" s="226" t="s">
        <v>6</v>
      </c>
      <c r="R254" s="227"/>
      <c r="S254" s="227"/>
      <c r="T254" s="227"/>
      <c r="U254" s="227"/>
      <c r="V254" s="228"/>
      <c r="W254" s="222" t="s">
        <v>2</v>
      </c>
      <c r="X254" s="112" t="s">
        <v>3</v>
      </c>
      <c r="Y254" s="224" t="s">
        <v>4</v>
      </c>
      <c r="Z254" s="225"/>
      <c r="AA254" s="226" t="s">
        <v>7</v>
      </c>
      <c r="AB254" s="227"/>
      <c r="AC254" s="227"/>
      <c r="AD254" s="227"/>
      <c r="AE254" s="227"/>
      <c r="AF254" s="228"/>
      <c r="AG254" s="222" t="s">
        <v>2</v>
      </c>
      <c r="AH254" s="112" t="s">
        <v>3</v>
      </c>
      <c r="AI254" s="224" t="s">
        <v>4</v>
      </c>
      <c r="AJ254" s="225"/>
      <c r="AK254" s="226" t="s">
        <v>8</v>
      </c>
      <c r="AL254" s="227"/>
      <c r="AM254" s="227"/>
      <c r="AN254" s="227"/>
      <c r="AO254" s="227"/>
      <c r="AP254" s="228"/>
    </row>
    <row r="255" spans="1:42" ht="28.5" customHeight="1" thickBot="1">
      <c r="B255" s="252"/>
      <c r="C255" s="223"/>
      <c r="D255" s="199" t="s">
        <v>9</v>
      </c>
      <c r="E255" s="199" t="s">
        <v>10</v>
      </c>
      <c r="F255" s="112" t="s">
        <v>9</v>
      </c>
      <c r="G255" s="253" t="s">
        <v>53</v>
      </c>
      <c r="H255" s="254"/>
      <c r="I255" s="71" t="s">
        <v>12</v>
      </c>
      <c r="J255" s="147">
        <v>0</v>
      </c>
      <c r="K255" s="71" t="s">
        <v>13</v>
      </c>
      <c r="L255" s="148">
        <v>0</v>
      </c>
      <c r="M255" s="223"/>
      <c r="N255" s="199" t="s">
        <v>9</v>
      </c>
      <c r="O255" s="199" t="s">
        <v>10</v>
      </c>
      <c r="P255" s="112" t="s">
        <v>9</v>
      </c>
      <c r="Q255" s="229" t="s">
        <v>11</v>
      </c>
      <c r="R255" s="229"/>
      <c r="S255" s="71" t="s">
        <v>12</v>
      </c>
      <c r="T255" s="147">
        <v>0</v>
      </c>
      <c r="U255" s="71" t="s">
        <v>13</v>
      </c>
      <c r="V255" s="148">
        <v>0</v>
      </c>
      <c r="W255" s="223"/>
      <c r="X255" s="199" t="s">
        <v>9</v>
      </c>
      <c r="Y255" s="199" t="s">
        <v>10</v>
      </c>
      <c r="Z255" s="112" t="s">
        <v>9</v>
      </c>
      <c r="AA255" s="229" t="s">
        <v>11</v>
      </c>
      <c r="AB255" s="229"/>
      <c r="AC255" s="71" t="s">
        <v>12</v>
      </c>
      <c r="AD255" s="147">
        <v>0</v>
      </c>
      <c r="AE255" s="71" t="s">
        <v>13</v>
      </c>
      <c r="AF255" s="148">
        <v>0</v>
      </c>
      <c r="AG255" s="223"/>
      <c r="AH255" s="199" t="s">
        <v>9</v>
      </c>
      <c r="AI255" s="199" t="s">
        <v>10</v>
      </c>
      <c r="AJ255" s="112" t="s">
        <v>9</v>
      </c>
      <c r="AK255" s="229" t="s">
        <v>11</v>
      </c>
      <c r="AL255" s="229"/>
      <c r="AM255" s="71" t="s">
        <v>12</v>
      </c>
      <c r="AN255" s="147">
        <v>0</v>
      </c>
      <c r="AO255" s="71" t="s">
        <v>13</v>
      </c>
      <c r="AP255" s="148">
        <v>0</v>
      </c>
    </row>
    <row r="256" spans="1:42" ht="28.5" customHeight="1">
      <c r="A256" s="132"/>
      <c r="B256" s="58" t="s">
        <v>76</v>
      </c>
      <c r="C256" s="230"/>
      <c r="D256" s="113"/>
      <c r="E256" s="58" t="s">
        <v>15</v>
      </c>
      <c r="F256" s="195" t="s">
        <v>16</v>
      </c>
      <c r="G256" s="69" t="s">
        <v>17</v>
      </c>
      <c r="H256" s="233" t="s">
        <v>77</v>
      </c>
      <c r="I256" s="233"/>
      <c r="J256" s="233"/>
      <c r="K256" s="69" t="s">
        <v>18</v>
      </c>
      <c r="L256" s="72">
        <v>0.25</v>
      </c>
      <c r="M256" s="230"/>
      <c r="N256" s="113" t="s">
        <v>16</v>
      </c>
      <c r="O256" s="58" t="s">
        <v>15</v>
      </c>
      <c r="P256" s="195" t="s">
        <v>16</v>
      </c>
      <c r="Q256" s="69" t="s">
        <v>17</v>
      </c>
      <c r="R256" s="233"/>
      <c r="S256" s="233"/>
      <c r="T256" s="233"/>
      <c r="U256" s="69" t="s">
        <v>18</v>
      </c>
      <c r="V256" s="72"/>
      <c r="W256" s="230"/>
      <c r="X256" s="113" t="s">
        <v>16</v>
      </c>
      <c r="Y256" s="58" t="s">
        <v>15</v>
      </c>
      <c r="Z256" s="195" t="s">
        <v>16</v>
      </c>
      <c r="AA256" s="69" t="s">
        <v>17</v>
      </c>
      <c r="AB256" s="233"/>
      <c r="AC256" s="233"/>
      <c r="AD256" s="233"/>
      <c r="AE256" s="69" t="s">
        <v>18</v>
      </c>
      <c r="AF256" s="72"/>
      <c r="AG256" s="230"/>
      <c r="AH256" s="113" t="s">
        <v>16</v>
      </c>
      <c r="AI256" s="58" t="s">
        <v>15</v>
      </c>
      <c r="AJ256" s="195" t="s">
        <v>16</v>
      </c>
      <c r="AK256" s="69" t="s">
        <v>17</v>
      </c>
      <c r="AL256" s="233"/>
      <c r="AM256" s="233"/>
      <c r="AN256" s="233"/>
      <c r="AO256" s="69" t="s">
        <v>18</v>
      </c>
      <c r="AP256" s="72"/>
    </row>
    <row r="257" spans="1:42" ht="28.5" customHeight="1">
      <c r="B257" s="114" t="str">
        <f>VLOOKUP(B256,tablaequipo,4)</f>
        <v>Grua</v>
      </c>
      <c r="C257" s="231"/>
      <c r="D257" s="113"/>
      <c r="E257" s="58" t="s">
        <v>15</v>
      </c>
      <c r="F257" s="195" t="s">
        <v>19</v>
      </c>
      <c r="G257" s="146" t="s">
        <v>20</v>
      </c>
      <c r="H257" s="234" t="s">
        <v>78</v>
      </c>
      <c r="I257" s="234"/>
      <c r="J257" s="234"/>
      <c r="K257" s="234"/>
      <c r="L257" s="235"/>
      <c r="M257" s="231"/>
      <c r="N257" s="113" t="s">
        <v>19</v>
      </c>
      <c r="O257" s="58" t="s">
        <v>15</v>
      </c>
      <c r="P257" s="195" t="s">
        <v>19</v>
      </c>
      <c r="Q257" s="146" t="s">
        <v>20</v>
      </c>
      <c r="R257" s="234"/>
      <c r="S257" s="234"/>
      <c r="T257" s="234"/>
      <c r="U257" s="234"/>
      <c r="V257" s="235"/>
      <c r="W257" s="231"/>
      <c r="X257" s="113" t="s">
        <v>19</v>
      </c>
      <c r="Y257" s="58" t="s">
        <v>15</v>
      </c>
      <c r="Z257" s="195" t="s">
        <v>19</v>
      </c>
      <c r="AA257" s="146" t="s">
        <v>20</v>
      </c>
      <c r="AB257" s="234"/>
      <c r="AC257" s="234"/>
      <c r="AD257" s="234"/>
      <c r="AE257" s="234"/>
      <c r="AF257" s="235"/>
      <c r="AG257" s="231"/>
      <c r="AH257" s="113" t="s">
        <v>19</v>
      </c>
      <c r="AI257" s="58" t="s">
        <v>15</v>
      </c>
      <c r="AJ257" s="195" t="s">
        <v>19</v>
      </c>
      <c r="AK257" s="146" t="s">
        <v>20</v>
      </c>
      <c r="AL257" s="234"/>
      <c r="AM257" s="234"/>
      <c r="AN257" s="234"/>
      <c r="AO257" s="234"/>
      <c r="AP257" s="235"/>
    </row>
    <row r="258" spans="1:42" ht="28.5" customHeight="1">
      <c r="B258" s="114" t="str">
        <f>VLOOKUP(B256,tablaequipo,6)</f>
        <v>LIEBHERR</v>
      </c>
      <c r="C258" s="231"/>
      <c r="D258" s="113"/>
      <c r="E258" s="58" t="s">
        <v>15</v>
      </c>
      <c r="F258" s="195" t="s">
        <v>19</v>
      </c>
      <c r="G258" s="70" t="s">
        <v>21</v>
      </c>
      <c r="H258" s="236"/>
      <c r="I258" s="236"/>
      <c r="J258" s="236"/>
      <c r="K258" s="70" t="s">
        <v>22</v>
      </c>
      <c r="L258" s="68"/>
      <c r="M258" s="231"/>
      <c r="N258" s="113" t="s">
        <v>19</v>
      </c>
      <c r="O258" s="58" t="s">
        <v>15</v>
      </c>
      <c r="P258" s="195" t="s">
        <v>19</v>
      </c>
      <c r="Q258" s="70" t="s">
        <v>21</v>
      </c>
      <c r="R258" s="236"/>
      <c r="S258" s="236"/>
      <c r="T258" s="236"/>
      <c r="U258" s="70" t="s">
        <v>22</v>
      </c>
      <c r="V258" s="68"/>
      <c r="W258" s="231"/>
      <c r="X258" s="113" t="s">
        <v>19</v>
      </c>
      <c r="Y258" s="58" t="s">
        <v>15</v>
      </c>
      <c r="Z258" s="195" t="s">
        <v>19</v>
      </c>
      <c r="AA258" s="70" t="s">
        <v>21</v>
      </c>
      <c r="AB258" s="236"/>
      <c r="AC258" s="236"/>
      <c r="AD258" s="236"/>
      <c r="AE258" s="70" t="s">
        <v>22</v>
      </c>
      <c r="AF258" s="68"/>
      <c r="AG258" s="231"/>
      <c r="AH258" s="113" t="s">
        <v>19</v>
      </c>
      <c r="AI258" s="58" t="s">
        <v>15</v>
      </c>
      <c r="AJ258" s="195" t="s">
        <v>19</v>
      </c>
      <c r="AK258" s="70" t="s">
        <v>21</v>
      </c>
      <c r="AL258" s="236"/>
      <c r="AM258" s="236"/>
      <c r="AN258" s="236"/>
      <c r="AO258" s="70" t="s">
        <v>22</v>
      </c>
      <c r="AP258" s="68"/>
    </row>
    <row r="259" spans="1:42" ht="28.5" customHeight="1" thickBot="1">
      <c r="B259" s="114" t="str">
        <f>VLOOKUP(B256,tablaequipo,7)</f>
        <v>LTM 1150</v>
      </c>
      <c r="C259" s="231"/>
      <c r="D259" s="113"/>
      <c r="E259" s="58" t="s">
        <v>15</v>
      </c>
      <c r="F259" s="195" t="s">
        <v>19</v>
      </c>
      <c r="G259" s="146" t="s">
        <v>23</v>
      </c>
      <c r="H259" s="234"/>
      <c r="I259" s="234"/>
      <c r="J259" s="234"/>
      <c r="K259" s="234"/>
      <c r="L259" s="235"/>
      <c r="M259" s="231"/>
      <c r="N259" s="113" t="s">
        <v>19</v>
      </c>
      <c r="O259" s="58" t="s">
        <v>15</v>
      </c>
      <c r="P259" s="195" t="s">
        <v>19</v>
      </c>
      <c r="Q259" s="146" t="s">
        <v>23</v>
      </c>
      <c r="R259" s="234"/>
      <c r="S259" s="234"/>
      <c r="T259" s="234"/>
      <c r="U259" s="234"/>
      <c r="V259" s="235"/>
      <c r="W259" s="231"/>
      <c r="X259" s="113" t="s">
        <v>19</v>
      </c>
      <c r="Y259" s="58" t="s">
        <v>15</v>
      </c>
      <c r="Z259" s="195" t="s">
        <v>19</v>
      </c>
      <c r="AA259" s="146" t="s">
        <v>23</v>
      </c>
      <c r="AB259" s="234"/>
      <c r="AC259" s="234"/>
      <c r="AD259" s="234"/>
      <c r="AE259" s="234"/>
      <c r="AF259" s="235"/>
      <c r="AG259" s="231"/>
      <c r="AH259" s="113" t="s">
        <v>19</v>
      </c>
      <c r="AI259" s="58" t="s">
        <v>15</v>
      </c>
      <c r="AJ259" s="195" t="s">
        <v>19</v>
      </c>
      <c r="AK259" s="146" t="s">
        <v>23</v>
      </c>
      <c r="AL259" s="234"/>
      <c r="AM259" s="234"/>
      <c r="AN259" s="234"/>
      <c r="AO259" s="234"/>
      <c r="AP259" s="235"/>
    </row>
    <row r="260" spans="1:42" ht="28.5" customHeight="1" thickBot="1">
      <c r="B260" s="114" t="str">
        <f>VLOOKUP(B256,tablaequipo,8)</f>
        <v>-</v>
      </c>
      <c r="C260" s="231"/>
      <c r="D260" s="113"/>
      <c r="E260" s="58" t="s">
        <v>15</v>
      </c>
      <c r="F260" s="177" t="s">
        <v>24</v>
      </c>
      <c r="G260" s="70" t="s">
        <v>21</v>
      </c>
      <c r="H260" s="236"/>
      <c r="I260" s="236"/>
      <c r="J260" s="236"/>
      <c r="K260" s="70" t="s">
        <v>22</v>
      </c>
      <c r="L260" s="68"/>
      <c r="M260" s="231"/>
      <c r="N260" s="113" t="s">
        <v>19</v>
      </c>
      <c r="O260" s="58" t="s">
        <v>15</v>
      </c>
      <c r="P260" s="177" t="s">
        <v>24</v>
      </c>
      <c r="Q260" s="70" t="s">
        <v>21</v>
      </c>
      <c r="R260" s="236"/>
      <c r="S260" s="236"/>
      <c r="T260" s="236"/>
      <c r="U260" s="70" t="s">
        <v>22</v>
      </c>
      <c r="V260" s="68"/>
      <c r="W260" s="231"/>
      <c r="X260" s="113" t="s">
        <v>19</v>
      </c>
      <c r="Y260" s="58" t="s">
        <v>15</v>
      </c>
      <c r="Z260" s="177" t="s">
        <v>24</v>
      </c>
      <c r="AA260" s="70" t="s">
        <v>21</v>
      </c>
      <c r="AB260" s="236"/>
      <c r="AC260" s="236"/>
      <c r="AD260" s="236"/>
      <c r="AE260" s="70" t="s">
        <v>22</v>
      </c>
      <c r="AF260" s="68"/>
      <c r="AG260" s="231"/>
      <c r="AH260" s="113" t="s">
        <v>19</v>
      </c>
      <c r="AI260" s="58" t="s">
        <v>15</v>
      </c>
      <c r="AJ260" s="177" t="s">
        <v>24</v>
      </c>
      <c r="AK260" s="70" t="s">
        <v>21</v>
      </c>
      <c r="AL260" s="236"/>
      <c r="AM260" s="236"/>
      <c r="AN260" s="236"/>
      <c r="AO260" s="70" t="s">
        <v>22</v>
      </c>
      <c r="AP260" s="68"/>
    </row>
    <row r="261" spans="1:42" ht="28.5" customHeight="1" thickBot="1">
      <c r="B261" s="121">
        <v>0</v>
      </c>
      <c r="C261" s="231"/>
      <c r="D261" s="113"/>
      <c r="E261" s="58" t="s">
        <v>15</v>
      </c>
      <c r="F261" s="196" t="s">
        <v>16</v>
      </c>
      <c r="G261" s="140" t="s">
        <v>25</v>
      </c>
      <c r="H261" s="237" t="s">
        <v>26</v>
      </c>
      <c r="I261" s="238"/>
      <c r="J261" s="140" t="s">
        <v>27</v>
      </c>
      <c r="K261" s="255" t="s">
        <v>44</v>
      </c>
      <c r="L261" s="256"/>
      <c r="M261" s="231"/>
      <c r="N261" s="113" t="s">
        <v>19</v>
      </c>
      <c r="O261" s="58" t="s">
        <v>15</v>
      </c>
      <c r="P261" s="196" t="s">
        <v>16</v>
      </c>
      <c r="Q261" s="140" t="s">
        <v>25</v>
      </c>
      <c r="R261" s="237" t="s">
        <v>26</v>
      </c>
      <c r="S261" s="238"/>
      <c r="T261" s="140" t="s">
        <v>27</v>
      </c>
      <c r="U261" s="237" t="s">
        <v>28</v>
      </c>
      <c r="V261" s="239"/>
      <c r="W261" s="231"/>
      <c r="X261" s="113" t="s">
        <v>19</v>
      </c>
      <c r="Y261" s="58" t="s">
        <v>15</v>
      </c>
      <c r="Z261" s="196" t="s">
        <v>16</v>
      </c>
      <c r="AA261" s="140" t="s">
        <v>25</v>
      </c>
      <c r="AB261" s="237" t="s">
        <v>26</v>
      </c>
      <c r="AC261" s="238"/>
      <c r="AD261" s="140" t="s">
        <v>27</v>
      </c>
      <c r="AE261" s="237" t="s">
        <v>28</v>
      </c>
      <c r="AF261" s="239"/>
      <c r="AG261" s="231"/>
      <c r="AH261" s="113" t="s">
        <v>19</v>
      </c>
      <c r="AI261" s="58" t="s">
        <v>15</v>
      </c>
      <c r="AJ261" s="196" t="s">
        <v>16</v>
      </c>
      <c r="AK261" s="140" t="s">
        <v>25</v>
      </c>
      <c r="AL261" s="237" t="s">
        <v>26</v>
      </c>
      <c r="AM261" s="238"/>
      <c r="AN261" s="140" t="s">
        <v>27</v>
      </c>
      <c r="AO261" s="237" t="s">
        <v>28</v>
      </c>
      <c r="AP261" s="239"/>
    </row>
    <row r="262" spans="1:42" ht="28.5" customHeight="1" thickBot="1">
      <c r="B262" s="122" t="str">
        <f>VLOOKUP(B261,tablapermiso,3)</f>
        <v>Seleccione Gestion</v>
      </c>
      <c r="C262" s="232"/>
      <c r="D262" s="113"/>
      <c r="E262" s="58" t="s">
        <v>15</v>
      </c>
      <c r="F262" s="196" t="s">
        <v>19</v>
      </c>
      <c r="G262" s="141">
        <v>1</v>
      </c>
      <c r="H262" s="240" t="str">
        <f>VLOOKUP(G262,tablaestado,3)</f>
        <v>En ejecucion</v>
      </c>
      <c r="I262" s="240"/>
      <c r="J262" s="240"/>
      <c r="K262" s="240"/>
      <c r="L262" s="241"/>
      <c r="M262" s="232"/>
      <c r="N262" s="113" t="s">
        <v>19</v>
      </c>
      <c r="O262" s="58" t="s">
        <v>15</v>
      </c>
      <c r="P262" s="196" t="s">
        <v>19</v>
      </c>
      <c r="Q262" s="141">
        <v>0</v>
      </c>
      <c r="R262" s="240" t="str">
        <f>VLOOKUP(Q262,tablaestado,3)</f>
        <v>Seleccione Estado</v>
      </c>
      <c r="S262" s="240"/>
      <c r="T262" s="240"/>
      <c r="U262" s="240"/>
      <c r="V262" s="241"/>
      <c r="W262" s="232"/>
      <c r="X262" s="113" t="s">
        <v>19</v>
      </c>
      <c r="Y262" s="58" t="s">
        <v>15</v>
      </c>
      <c r="Z262" s="196" t="s">
        <v>19</v>
      </c>
      <c r="AA262" s="141">
        <v>0</v>
      </c>
      <c r="AB262" s="240" t="str">
        <f>VLOOKUP(AA262,tablaestado,3)</f>
        <v>Seleccione Estado</v>
      </c>
      <c r="AC262" s="240"/>
      <c r="AD262" s="240"/>
      <c r="AE262" s="240"/>
      <c r="AF262" s="241"/>
      <c r="AG262" s="232"/>
      <c r="AH262" s="113" t="s">
        <v>19</v>
      </c>
      <c r="AI262" s="58" t="s">
        <v>15</v>
      </c>
      <c r="AJ262" s="196" t="s">
        <v>19</v>
      </c>
      <c r="AK262" s="141">
        <v>0</v>
      </c>
      <c r="AL262" s="240" t="str">
        <f>VLOOKUP(AK262,tablaestado,3)</f>
        <v>Seleccione Estado</v>
      </c>
      <c r="AM262" s="240"/>
      <c r="AN262" s="240"/>
      <c r="AO262" s="240"/>
      <c r="AP262" s="241"/>
    </row>
    <row r="263" spans="1:42" ht="28.5" customHeight="1" thickBot="1">
      <c r="B263" s="251" t="s">
        <v>1</v>
      </c>
      <c r="C263" s="222" t="s">
        <v>2</v>
      </c>
      <c r="D263" s="112" t="s">
        <v>3</v>
      </c>
      <c r="E263" s="224" t="s">
        <v>4</v>
      </c>
      <c r="F263" s="225"/>
      <c r="G263" s="226" t="s">
        <v>5</v>
      </c>
      <c r="H263" s="227"/>
      <c r="I263" s="227"/>
      <c r="J263" s="227"/>
      <c r="K263" s="227"/>
      <c r="L263" s="228"/>
      <c r="M263" s="222" t="s">
        <v>2</v>
      </c>
      <c r="N263" s="112" t="s">
        <v>3</v>
      </c>
      <c r="O263" s="224" t="s">
        <v>4</v>
      </c>
      <c r="P263" s="225"/>
      <c r="Q263" s="226" t="s">
        <v>6</v>
      </c>
      <c r="R263" s="227"/>
      <c r="S263" s="227"/>
      <c r="T263" s="227"/>
      <c r="U263" s="227"/>
      <c r="V263" s="228"/>
      <c r="W263" s="222" t="s">
        <v>2</v>
      </c>
      <c r="X263" s="112" t="s">
        <v>3</v>
      </c>
      <c r="Y263" s="224" t="s">
        <v>4</v>
      </c>
      <c r="Z263" s="225"/>
      <c r="AA263" s="226" t="s">
        <v>7</v>
      </c>
      <c r="AB263" s="227"/>
      <c r="AC263" s="227"/>
      <c r="AD263" s="227"/>
      <c r="AE263" s="227"/>
      <c r="AF263" s="228"/>
      <c r="AG263" s="222" t="s">
        <v>2</v>
      </c>
      <c r="AH263" s="112" t="s">
        <v>3</v>
      </c>
      <c r="AI263" s="224" t="s">
        <v>4</v>
      </c>
      <c r="AJ263" s="225"/>
      <c r="AK263" s="226" t="s">
        <v>8</v>
      </c>
      <c r="AL263" s="227"/>
      <c r="AM263" s="227"/>
      <c r="AN263" s="227"/>
      <c r="AO263" s="227"/>
      <c r="AP263" s="228"/>
    </row>
    <row r="264" spans="1:42" ht="28.5" customHeight="1" thickBot="1">
      <c r="B264" s="252"/>
      <c r="C264" s="223"/>
      <c r="D264" s="199" t="s">
        <v>9</v>
      </c>
      <c r="E264" s="199" t="s">
        <v>10</v>
      </c>
      <c r="F264" s="112" t="s">
        <v>9</v>
      </c>
      <c r="G264" s="229" t="s">
        <v>11</v>
      </c>
      <c r="H264" s="229"/>
      <c r="I264" s="71" t="s">
        <v>12</v>
      </c>
      <c r="J264" s="147">
        <v>0</v>
      </c>
      <c r="K264" s="71" t="s">
        <v>13</v>
      </c>
      <c r="L264" s="148">
        <v>0</v>
      </c>
      <c r="M264" s="223"/>
      <c r="N264" s="199" t="s">
        <v>9</v>
      </c>
      <c r="O264" s="199" t="s">
        <v>10</v>
      </c>
      <c r="P264" s="112" t="s">
        <v>9</v>
      </c>
      <c r="Q264" s="229" t="s">
        <v>11</v>
      </c>
      <c r="R264" s="229"/>
      <c r="S264" s="71" t="s">
        <v>12</v>
      </c>
      <c r="T264" s="147">
        <v>0</v>
      </c>
      <c r="U264" s="71" t="s">
        <v>13</v>
      </c>
      <c r="V264" s="148">
        <v>0</v>
      </c>
      <c r="W264" s="223"/>
      <c r="X264" s="199" t="s">
        <v>9</v>
      </c>
      <c r="Y264" s="199" t="s">
        <v>10</v>
      </c>
      <c r="Z264" s="112" t="s">
        <v>9</v>
      </c>
      <c r="AA264" s="229" t="s">
        <v>11</v>
      </c>
      <c r="AB264" s="229"/>
      <c r="AC264" s="71" t="s">
        <v>12</v>
      </c>
      <c r="AD264" s="147">
        <v>0</v>
      </c>
      <c r="AE264" s="71" t="s">
        <v>13</v>
      </c>
      <c r="AF264" s="148">
        <v>0</v>
      </c>
      <c r="AG264" s="223"/>
      <c r="AH264" s="199" t="s">
        <v>9</v>
      </c>
      <c r="AI264" s="199" t="s">
        <v>10</v>
      </c>
      <c r="AJ264" s="112" t="s">
        <v>9</v>
      </c>
      <c r="AK264" s="229" t="s">
        <v>11</v>
      </c>
      <c r="AL264" s="229"/>
      <c r="AM264" s="71" t="s">
        <v>12</v>
      </c>
      <c r="AN264" s="147">
        <v>0</v>
      </c>
      <c r="AO264" s="71" t="s">
        <v>13</v>
      </c>
      <c r="AP264" s="148">
        <v>0</v>
      </c>
    </row>
    <row r="265" spans="1:42" ht="28.5" customHeight="1">
      <c r="A265" s="132"/>
      <c r="B265" s="58" t="s">
        <v>79</v>
      </c>
      <c r="C265" s="230"/>
      <c r="D265" s="113" t="s">
        <v>16</v>
      </c>
      <c r="E265" s="58" t="s">
        <v>15</v>
      </c>
      <c r="F265" s="195" t="s">
        <v>16</v>
      </c>
      <c r="G265" s="69" t="s">
        <v>17</v>
      </c>
      <c r="H265" s="233"/>
      <c r="I265" s="233"/>
      <c r="J265" s="233"/>
      <c r="K265" s="69" t="s">
        <v>18</v>
      </c>
      <c r="L265" s="72"/>
      <c r="M265" s="230"/>
      <c r="N265" s="113" t="s">
        <v>16</v>
      </c>
      <c r="O265" s="58" t="s">
        <v>15</v>
      </c>
      <c r="P265" s="195" t="s">
        <v>16</v>
      </c>
      <c r="Q265" s="69" t="s">
        <v>17</v>
      </c>
      <c r="R265" s="233"/>
      <c r="S265" s="233"/>
      <c r="T265" s="233"/>
      <c r="U265" s="69" t="s">
        <v>18</v>
      </c>
      <c r="V265" s="72"/>
      <c r="W265" s="230"/>
      <c r="X265" s="113" t="s">
        <v>16</v>
      </c>
      <c r="Y265" s="58" t="s">
        <v>15</v>
      </c>
      <c r="Z265" s="195" t="s">
        <v>16</v>
      </c>
      <c r="AA265" s="69" t="s">
        <v>17</v>
      </c>
      <c r="AB265" s="233"/>
      <c r="AC265" s="233"/>
      <c r="AD265" s="233"/>
      <c r="AE265" s="69" t="s">
        <v>18</v>
      </c>
      <c r="AF265" s="72"/>
      <c r="AG265" s="230"/>
      <c r="AH265" s="113" t="s">
        <v>16</v>
      </c>
      <c r="AI265" s="58" t="s">
        <v>15</v>
      </c>
      <c r="AJ265" s="195" t="s">
        <v>16</v>
      </c>
      <c r="AK265" s="69" t="s">
        <v>17</v>
      </c>
      <c r="AL265" s="233"/>
      <c r="AM265" s="233"/>
      <c r="AN265" s="233"/>
      <c r="AO265" s="69" t="s">
        <v>18</v>
      </c>
      <c r="AP265" s="72"/>
    </row>
    <row r="266" spans="1:42" ht="28.5" customHeight="1">
      <c r="B266" s="114" t="str">
        <f>VLOOKUP(B265,tablaequipo,4)</f>
        <v>Grua</v>
      </c>
      <c r="C266" s="231"/>
      <c r="D266" s="113" t="s">
        <v>19</v>
      </c>
      <c r="E266" s="58" t="s">
        <v>15</v>
      </c>
      <c r="F266" s="195" t="s">
        <v>19</v>
      </c>
      <c r="G266" s="146" t="s">
        <v>20</v>
      </c>
      <c r="H266" s="234"/>
      <c r="I266" s="234"/>
      <c r="J266" s="234"/>
      <c r="K266" s="234"/>
      <c r="L266" s="235"/>
      <c r="M266" s="231"/>
      <c r="N266" s="113" t="s">
        <v>19</v>
      </c>
      <c r="O266" s="58" t="s">
        <v>15</v>
      </c>
      <c r="P266" s="195" t="s">
        <v>19</v>
      </c>
      <c r="Q266" s="146" t="s">
        <v>20</v>
      </c>
      <c r="R266" s="234"/>
      <c r="S266" s="234"/>
      <c r="T266" s="234"/>
      <c r="U266" s="234"/>
      <c r="V266" s="235"/>
      <c r="W266" s="231"/>
      <c r="X266" s="113" t="s">
        <v>19</v>
      </c>
      <c r="Y266" s="58" t="s">
        <v>15</v>
      </c>
      <c r="Z266" s="195" t="s">
        <v>19</v>
      </c>
      <c r="AA266" s="146" t="s">
        <v>20</v>
      </c>
      <c r="AB266" s="234"/>
      <c r="AC266" s="234"/>
      <c r="AD266" s="234"/>
      <c r="AE266" s="234"/>
      <c r="AF266" s="235"/>
      <c r="AG266" s="231"/>
      <c r="AH266" s="113" t="s">
        <v>19</v>
      </c>
      <c r="AI266" s="58" t="s">
        <v>15</v>
      </c>
      <c r="AJ266" s="195" t="s">
        <v>19</v>
      </c>
      <c r="AK266" s="146" t="s">
        <v>20</v>
      </c>
      <c r="AL266" s="234"/>
      <c r="AM266" s="234"/>
      <c r="AN266" s="234"/>
      <c r="AO266" s="234"/>
      <c r="AP266" s="235"/>
    </row>
    <row r="267" spans="1:42" ht="28.5" customHeight="1">
      <c r="B267" s="114" t="str">
        <f>VLOOKUP(B265,tablaequipo,6)</f>
        <v>LIEBHERR</v>
      </c>
      <c r="C267" s="231"/>
      <c r="D267" s="113" t="s">
        <v>19</v>
      </c>
      <c r="E267" s="58" t="s">
        <v>15</v>
      </c>
      <c r="F267" s="195" t="s">
        <v>19</v>
      </c>
      <c r="G267" s="70" t="s">
        <v>21</v>
      </c>
      <c r="H267" s="236"/>
      <c r="I267" s="236"/>
      <c r="J267" s="236"/>
      <c r="K267" s="70" t="s">
        <v>22</v>
      </c>
      <c r="L267" s="68"/>
      <c r="M267" s="231"/>
      <c r="N267" s="113" t="s">
        <v>19</v>
      </c>
      <c r="O267" s="58" t="s">
        <v>15</v>
      </c>
      <c r="P267" s="195" t="s">
        <v>19</v>
      </c>
      <c r="Q267" s="70" t="s">
        <v>21</v>
      </c>
      <c r="R267" s="236"/>
      <c r="S267" s="236"/>
      <c r="T267" s="236"/>
      <c r="U267" s="70" t="s">
        <v>22</v>
      </c>
      <c r="V267" s="68"/>
      <c r="W267" s="231"/>
      <c r="X267" s="113" t="s">
        <v>19</v>
      </c>
      <c r="Y267" s="58" t="s">
        <v>15</v>
      </c>
      <c r="Z267" s="195" t="s">
        <v>19</v>
      </c>
      <c r="AA267" s="70" t="s">
        <v>21</v>
      </c>
      <c r="AB267" s="236"/>
      <c r="AC267" s="236"/>
      <c r="AD267" s="236"/>
      <c r="AE267" s="70" t="s">
        <v>22</v>
      </c>
      <c r="AF267" s="68"/>
      <c r="AG267" s="231"/>
      <c r="AH267" s="113" t="s">
        <v>19</v>
      </c>
      <c r="AI267" s="58" t="s">
        <v>15</v>
      </c>
      <c r="AJ267" s="195" t="s">
        <v>19</v>
      </c>
      <c r="AK267" s="70" t="s">
        <v>21</v>
      </c>
      <c r="AL267" s="236"/>
      <c r="AM267" s="236"/>
      <c r="AN267" s="236"/>
      <c r="AO267" s="70" t="s">
        <v>22</v>
      </c>
      <c r="AP267" s="68"/>
    </row>
    <row r="268" spans="1:42" ht="28.5" customHeight="1" thickBot="1">
      <c r="B268" s="114" t="str">
        <f>VLOOKUP(B265,tablaequipo,7)</f>
        <v>LTM 1230</v>
      </c>
      <c r="C268" s="231"/>
      <c r="D268" s="113" t="s">
        <v>19</v>
      </c>
      <c r="E268" s="58" t="s">
        <v>15</v>
      </c>
      <c r="F268" s="195" t="s">
        <v>19</v>
      </c>
      <c r="G268" s="146" t="s">
        <v>23</v>
      </c>
      <c r="H268" s="234"/>
      <c r="I268" s="234"/>
      <c r="J268" s="234"/>
      <c r="K268" s="234"/>
      <c r="L268" s="235"/>
      <c r="M268" s="231"/>
      <c r="N268" s="113" t="s">
        <v>19</v>
      </c>
      <c r="O268" s="58" t="s">
        <v>15</v>
      </c>
      <c r="P268" s="195" t="s">
        <v>19</v>
      </c>
      <c r="Q268" s="146" t="s">
        <v>23</v>
      </c>
      <c r="R268" s="234"/>
      <c r="S268" s="234"/>
      <c r="T268" s="234"/>
      <c r="U268" s="234"/>
      <c r="V268" s="235"/>
      <c r="W268" s="231"/>
      <c r="X268" s="113" t="s">
        <v>19</v>
      </c>
      <c r="Y268" s="58" t="s">
        <v>15</v>
      </c>
      <c r="Z268" s="195" t="s">
        <v>19</v>
      </c>
      <c r="AA268" s="146" t="s">
        <v>23</v>
      </c>
      <c r="AB268" s="234"/>
      <c r="AC268" s="234"/>
      <c r="AD268" s="234"/>
      <c r="AE268" s="234"/>
      <c r="AF268" s="235"/>
      <c r="AG268" s="231"/>
      <c r="AH268" s="113" t="s">
        <v>19</v>
      </c>
      <c r="AI268" s="58" t="s">
        <v>15</v>
      </c>
      <c r="AJ268" s="195" t="s">
        <v>19</v>
      </c>
      <c r="AK268" s="146" t="s">
        <v>23</v>
      </c>
      <c r="AL268" s="234"/>
      <c r="AM268" s="234"/>
      <c r="AN268" s="234"/>
      <c r="AO268" s="234"/>
      <c r="AP268" s="235"/>
    </row>
    <row r="269" spans="1:42" ht="28.5" customHeight="1" thickBot="1">
      <c r="B269" s="114">
        <f>VLOOKUP(B265,tablaequipo,8)</f>
        <v>0</v>
      </c>
      <c r="C269" s="231"/>
      <c r="D269" s="113" t="s">
        <v>19</v>
      </c>
      <c r="E269" s="58" t="s">
        <v>15</v>
      </c>
      <c r="F269" s="177" t="s">
        <v>24</v>
      </c>
      <c r="G269" s="70" t="s">
        <v>21</v>
      </c>
      <c r="H269" s="236"/>
      <c r="I269" s="236"/>
      <c r="J269" s="236"/>
      <c r="K269" s="70" t="s">
        <v>22</v>
      </c>
      <c r="L269" s="68"/>
      <c r="M269" s="231"/>
      <c r="N269" s="113" t="s">
        <v>19</v>
      </c>
      <c r="O269" s="58" t="s">
        <v>15</v>
      </c>
      <c r="P269" s="177" t="s">
        <v>24</v>
      </c>
      <c r="Q269" s="70" t="s">
        <v>21</v>
      </c>
      <c r="R269" s="236"/>
      <c r="S269" s="236"/>
      <c r="T269" s="236"/>
      <c r="U269" s="70" t="s">
        <v>22</v>
      </c>
      <c r="V269" s="68"/>
      <c r="W269" s="231"/>
      <c r="X269" s="113" t="s">
        <v>19</v>
      </c>
      <c r="Y269" s="58" t="s">
        <v>15</v>
      </c>
      <c r="Z269" s="177" t="s">
        <v>24</v>
      </c>
      <c r="AA269" s="70" t="s">
        <v>21</v>
      </c>
      <c r="AB269" s="236"/>
      <c r="AC269" s="236"/>
      <c r="AD269" s="236"/>
      <c r="AE269" s="70" t="s">
        <v>22</v>
      </c>
      <c r="AF269" s="68"/>
      <c r="AG269" s="231"/>
      <c r="AH269" s="113" t="s">
        <v>19</v>
      </c>
      <c r="AI269" s="58" t="s">
        <v>15</v>
      </c>
      <c r="AJ269" s="177" t="s">
        <v>24</v>
      </c>
      <c r="AK269" s="70" t="s">
        <v>21</v>
      </c>
      <c r="AL269" s="236"/>
      <c r="AM269" s="236"/>
      <c r="AN269" s="236"/>
      <c r="AO269" s="70" t="s">
        <v>22</v>
      </c>
      <c r="AP269" s="68"/>
    </row>
    <row r="270" spans="1:42" ht="28.5" customHeight="1" thickBot="1">
      <c r="B270" s="121">
        <v>0</v>
      </c>
      <c r="C270" s="231"/>
      <c r="D270" s="113" t="s">
        <v>19</v>
      </c>
      <c r="E270" s="58" t="s">
        <v>15</v>
      </c>
      <c r="F270" s="196" t="s">
        <v>16</v>
      </c>
      <c r="G270" s="140" t="s">
        <v>25</v>
      </c>
      <c r="H270" s="237" t="s">
        <v>26</v>
      </c>
      <c r="I270" s="238"/>
      <c r="J270" s="140" t="s">
        <v>27</v>
      </c>
      <c r="K270" s="237" t="s">
        <v>28</v>
      </c>
      <c r="L270" s="239"/>
      <c r="M270" s="231"/>
      <c r="N270" s="113" t="s">
        <v>19</v>
      </c>
      <c r="O270" s="58" t="s">
        <v>15</v>
      </c>
      <c r="P270" s="196" t="s">
        <v>16</v>
      </c>
      <c r="Q270" s="140" t="s">
        <v>25</v>
      </c>
      <c r="R270" s="237" t="s">
        <v>26</v>
      </c>
      <c r="S270" s="238"/>
      <c r="T270" s="140" t="s">
        <v>27</v>
      </c>
      <c r="U270" s="237" t="s">
        <v>28</v>
      </c>
      <c r="V270" s="239"/>
      <c r="W270" s="231"/>
      <c r="X270" s="113" t="s">
        <v>19</v>
      </c>
      <c r="Y270" s="58" t="s">
        <v>15</v>
      </c>
      <c r="Z270" s="196" t="s">
        <v>16</v>
      </c>
      <c r="AA270" s="140" t="s">
        <v>25</v>
      </c>
      <c r="AB270" s="237" t="s">
        <v>26</v>
      </c>
      <c r="AC270" s="238"/>
      <c r="AD270" s="140" t="s">
        <v>27</v>
      </c>
      <c r="AE270" s="237" t="s">
        <v>28</v>
      </c>
      <c r="AF270" s="239"/>
      <c r="AG270" s="231"/>
      <c r="AH270" s="113" t="s">
        <v>19</v>
      </c>
      <c r="AI270" s="58" t="s">
        <v>15</v>
      </c>
      <c r="AJ270" s="196" t="s">
        <v>16</v>
      </c>
      <c r="AK270" s="140" t="s">
        <v>25</v>
      </c>
      <c r="AL270" s="237" t="s">
        <v>26</v>
      </c>
      <c r="AM270" s="238"/>
      <c r="AN270" s="140" t="s">
        <v>27</v>
      </c>
      <c r="AO270" s="237" t="s">
        <v>28</v>
      </c>
      <c r="AP270" s="239"/>
    </row>
    <row r="271" spans="1:42" ht="28.5" customHeight="1" thickBot="1">
      <c r="B271" s="122" t="str">
        <f>VLOOKUP(B270,tablapermiso,3)</f>
        <v>Seleccione Gestion</v>
      </c>
      <c r="C271" s="232"/>
      <c r="D271" s="113" t="s">
        <v>19</v>
      </c>
      <c r="E271" s="58" t="s">
        <v>15</v>
      </c>
      <c r="F271" s="196" t="s">
        <v>19</v>
      </c>
      <c r="G271" s="141">
        <v>1</v>
      </c>
      <c r="H271" s="240" t="str">
        <f>VLOOKUP(G271,tablaestado,3)</f>
        <v>En ejecucion</v>
      </c>
      <c r="I271" s="240"/>
      <c r="J271" s="240"/>
      <c r="K271" s="240"/>
      <c r="L271" s="241"/>
      <c r="M271" s="232"/>
      <c r="N271" s="113" t="s">
        <v>19</v>
      </c>
      <c r="O271" s="58" t="s">
        <v>15</v>
      </c>
      <c r="P271" s="196" t="s">
        <v>19</v>
      </c>
      <c r="Q271" s="141">
        <v>0</v>
      </c>
      <c r="R271" s="240" t="str">
        <f>VLOOKUP(Q271,tablaestado,3)</f>
        <v>Seleccione Estado</v>
      </c>
      <c r="S271" s="240"/>
      <c r="T271" s="240"/>
      <c r="U271" s="240"/>
      <c r="V271" s="241"/>
      <c r="W271" s="232"/>
      <c r="X271" s="113" t="s">
        <v>19</v>
      </c>
      <c r="Y271" s="58" t="s">
        <v>15</v>
      </c>
      <c r="Z271" s="196" t="s">
        <v>19</v>
      </c>
      <c r="AA271" s="141">
        <v>0</v>
      </c>
      <c r="AB271" s="240" t="str">
        <f>VLOOKUP(AA271,tablaestado,3)</f>
        <v>Seleccione Estado</v>
      </c>
      <c r="AC271" s="240"/>
      <c r="AD271" s="240"/>
      <c r="AE271" s="240"/>
      <c r="AF271" s="241"/>
      <c r="AG271" s="232"/>
      <c r="AH271" s="113" t="s">
        <v>19</v>
      </c>
      <c r="AI271" s="58" t="s">
        <v>15</v>
      </c>
      <c r="AJ271" s="196" t="s">
        <v>19</v>
      </c>
      <c r="AK271" s="141">
        <v>0</v>
      </c>
      <c r="AL271" s="240" t="str">
        <f>VLOOKUP(AK271,tablaestado,3)</f>
        <v>Seleccione Estado</v>
      </c>
      <c r="AM271" s="240"/>
      <c r="AN271" s="240"/>
      <c r="AO271" s="240"/>
      <c r="AP271" s="241"/>
    </row>
    <row r="272" spans="1:42" ht="28.5" customHeight="1" thickBot="1">
      <c r="B272" s="251" t="s">
        <v>1</v>
      </c>
      <c r="C272" s="222" t="s">
        <v>2</v>
      </c>
      <c r="D272" s="112" t="s">
        <v>3</v>
      </c>
      <c r="E272" s="224" t="s">
        <v>4</v>
      </c>
      <c r="F272" s="225"/>
      <c r="G272" s="226" t="s">
        <v>5</v>
      </c>
      <c r="H272" s="227"/>
      <c r="I272" s="227"/>
      <c r="J272" s="227"/>
      <c r="K272" s="227"/>
      <c r="L272" s="228"/>
      <c r="M272" s="222" t="s">
        <v>2</v>
      </c>
      <c r="N272" s="112" t="s">
        <v>3</v>
      </c>
      <c r="O272" s="224" t="s">
        <v>4</v>
      </c>
      <c r="P272" s="225"/>
      <c r="Q272" s="226" t="s">
        <v>6</v>
      </c>
      <c r="R272" s="227"/>
      <c r="S272" s="227"/>
      <c r="T272" s="227"/>
      <c r="U272" s="227"/>
      <c r="V272" s="228"/>
      <c r="W272" s="222" t="s">
        <v>2</v>
      </c>
      <c r="X272" s="112" t="s">
        <v>3</v>
      </c>
      <c r="Y272" s="224" t="s">
        <v>4</v>
      </c>
      <c r="Z272" s="225"/>
      <c r="AA272" s="226" t="s">
        <v>7</v>
      </c>
      <c r="AB272" s="227"/>
      <c r="AC272" s="227"/>
      <c r="AD272" s="227"/>
      <c r="AE272" s="227"/>
      <c r="AF272" s="228"/>
      <c r="AG272" s="222" t="s">
        <v>2</v>
      </c>
      <c r="AH272" s="112" t="s">
        <v>3</v>
      </c>
      <c r="AI272" s="224" t="s">
        <v>4</v>
      </c>
      <c r="AJ272" s="225"/>
      <c r="AK272" s="226" t="s">
        <v>8</v>
      </c>
      <c r="AL272" s="227"/>
      <c r="AM272" s="227"/>
      <c r="AN272" s="227"/>
      <c r="AO272" s="227"/>
      <c r="AP272" s="228"/>
    </row>
    <row r="273" spans="1:42" ht="28.5" customHeight="1" thickBot="1">
      <c r="B273" s="252"/>
      <c r="C273" s="223"/>
      <c r="D273" s="199" t="s">
        <v>9</v>
      </c>
      <c r="E273" s="199" t="s">
        <v>10</v>
      </c>
      <c r="F273" s="112" t="s">
        <v>9</v>
      </c>
      <c r="G273" s="229" t="s">
        <v>11</v>
      </c>
      <c r="H273" s="229"/>
      <c r="I273" s="71" t="s">
        <v>12</v>
      </c>
      <c r="J273" s="147">
        <v>0</v>
      </c>
      <c r="K273" s="71" t="s">
        <v>13</v>
      </c>
      <c r="L273" s="148">
        <v>0</v>
      </c>
      <c r="M273" s="223"/>
      <c r="N273" s="199" t="s">
        <v>9</v>
      </c>
      <c r="O273" s="199" t="s">
        <v>10</v>
      </c>
      <c r="P273" s="112" t="s">
        <v>9</v>
      </c>
      <c r="Q273" s="229" t="s">
        <v>11</v>
      </c>
      <c r="R273" s="229"/>
      <c r="S273" s="71" t="s">
        <v>12</v>
      </c>
      <c r="T273" s="147">
        <v>0</v>
      </c>
      <c r="U273" s="71" t="s">
        <v>13</v>
      </c>
      <c r="V273" s="148">
        <v>0</v>
      </c>
      <c r="W273" s="223"/>
      <c r="X273" s="199" t="s">
        <v>9</v>
      </c>
      <c r="Y273" s="199" t="s">
        <v>10</v>
      </c>
      <c r="Z273" s="112" t="s">
        <v>9</v>
      </c>
      <c r="AA273" s="229" t="s">
        <v>11</v>
      </c>
      <c r="AB273" s="229"/>
      <c r="AC273" s="71" t="s">
        <v>12</v>
      </c>
      <c r="AD273" s="147">
        <v>0</v>
      </c>
      <c r="AE273" s="71" t="s">
        <v>13</v>
      </c>
      <c r="AF273" s="148">
        <v>0</v>
      </c>
      <c r="AG273" s="223"/>
      <c r="AH273" s="199" t="s">
        <v>9</v>
      </c>
      <c r="AI273" s="199" t="s">
        <v>10</v>
      </c>
      <c r="AJ273" s="112" t="s">
        <v>9</v>
      </c>
      <c r="AK273" s="229" t="s">
        <v>11</v>
      </c>
      <c r="AL273" s="229"/>
      <c r="AM273" s="71" t="s">
        <v>12</v>
      </c>
      <c r="AN273" s="147">
        <v>0</v>
      </c>
      <c r="AO273" s="71" t="s">
        <v>13</v>
      </c>
      <c r="AP273" s="148">
        <v>0</v>
      </c>
    </row>
    <row r="274" spans="1:42" ht="28.5" customHeight="1">
      <c r="A274" s="132"/>
      <c r="B274" s="58" t="s">
        <v>80</v>
      </c>
      <c r="C274" s="230"/>
      <c r="D274" s="113" t="s">
        <v>16</v>
      </c>
      <c r="E274" s="58" t="s">
        <v>15</v>
      </c>
      <c r="F274" s="195" t="s">
        <v>16</v>
      </c>
      <c r="G274" s="69" t="s">
        <v>17</v>
      </c>
      <c r="H274" s="233"/>
      <c r="I274" s="233"/>
      <c r="J274" s="233"/>
      <c r="K274" s="69" t="s">
        <v>18</v>
      </c>
      <c r="L274" s="72"/>
      <c r="M274" s="230"/>
      <c r="N274" s="113" t="s">
        <v>16</v>
      </c>
      <c r="O274" s="58" t="s">
        <v>15</v>
      </c>
      <c r="P274" s="195" t="s">
        <v>16</v>
      </c>
      <c r="Q274" s="69" t="s">
        <v>17</v>
      </c>
      <c r="R274" s="233"/>
      <c r="S274" s="233"/>
      <c r="T274" s="233"/>
      <c r="U274" s="69" t="s">
        <v>18</v>
      </c>
      <c r="V274" s="72"/>
      <c r="W274" s="230"/>
      <c r="X274" s="113" t="s">
        <v>16</v>
      </c>
      <c r="Y274" s="58" t="s">
        <v>15</v>
      </c>
      <c r="Z274" s="195" t="s">
        <v>16</v>
      </c>
      <c r="AA274" s="69" t="s">
        <v>17</v>
      </c>
      <c r="AB274" s="233"/>
      <c r="AC274" s="233"/>
      <c r="AD274" s="233"/>
      <c r="AE274" s="69" t="s">
        <v>18</v>
      </c>
      <c r="AF274" s="72"/>
      <c r="AG274" s="230"/>
      <c r="AH274" s="113" t="s">
        <v>16</v>
      </c>
      <c r="AI274" s="58" t="s">
        <v>15</v>
      </c>
      <c r="AJ274" s="195" t="s">
        <v>16</v>
      </c>
      <c r="AK274" s="69" t="s">
        <v>17</v>
      </c>
      <c r="AL274" s="233"/>
      <c r="AM274" s="233"/>
      <c r="AN274" s="233"/>
      <c r="AO274" s="69" t="s">
        <v>18</v>
      </c>
      <c r="AP274" s="72"/>
    </row>
    <row r="275" spans="1:42" ht="28.5" customHeight="1">
      <c r="B275" s="114" t="str">
        <f>VLOOKUP(B274,tablaequipo,4)</f>
        <v>Grua</v>
      </c>
      <c r="C275" s="231"/>
      <c r="D275" s="113" t="s">
        <v>19</v>
      </c>
      <c r="E275" s="58" t="s">
        <v>15</v>
      </c>
      <c r="F275" s="195" t="s">
        <v>19</v>
      </c>
      <c r="G275" s="146" t="s">
        <v>20</v>
      </c>
      <c r="H275" s="234"/>
      <c r="I275" s="234"/>
      <c r="J275" s="234"/>
      <c r="K275" s="234"/>
      <c r="L275" s="235"/>
      <c r="M275" s="231"/>
      <c r="N275" s="113" t="s">
        <v>19</v>
      </c>
      <c r="O275" s="58" t="s">
        <v>15</v>
      </c>
      <c r="P275" s="195" t="s">
        <v>19</v>
      </c>
      <c r="Q275" s="146" t="s">
        <v>20</v>
      </c>
      <c r="R275" s="234"/>
      <c r="S275" s="234"/>
      <c r="T275" s="234"/>
      <c r="U275" s="234"/>
      <c r="V275" s="235"/>
      <c r="W275" s="231"/>
      <c r="X275" s="113" t="s">
        <v>19</v>
      </c>
      <c r="Y275" s="58" t="s">
        <v>15</v>
      </c>
      <c r="Z275" s="195" t="s">
        <v>19</v>
      </c>
      <c r="AA275" s="146" t="s">
        <v>20</v>
      </c>
      <c r="AB275" s="234"/>
      <c r="AC275" s="234"/>
      <c r="AD275" s="234"/>
      <c r="AE275" s="234"/>
      <c r="AF275" s="235"/>
      <c r="AG275" s="231"/>
      <c r="AH275" s="113" t="s">
        <v>19</v>
      </c>
      <c r="AI275" s="58" t="s">
        <v>15</v>
      </c>
      <c r="AJ275" s="195" t="s">
        <v>19</v>
      </c>
      <c r="AK275" s="146" t="s">
        <v>20</v>
      </c>
      <c r="AL275" s="234"/>
      <c r="AM275" s="234"/>
      <c r="AN275" s="234"/>
      <c r="AO275" s="234"/>
      <c r="AP275" s="235"/>
    </row>
    <row r="276" spans="1:42" ht="28.5" customHeight="1">
      <c r="B276" s="114" t="str">
        <f>VLOOKUP(B274,tablaequipo,6)</f>
        <v>Alguiler Grua</v>
      </c>
      <c r="C276" s="231"/>
      <c r="D276" s="113" t="s">
        <v>19</v>
      </c>
      <c r="E276" s="58" t="s">
        <v>15</v>
      </c>
      <c r="F276" s="195" t="s">
        <v>19</v>
      </c>
      <c r="G276" s="70" t="s">
        <v>21</v>
      </c>
      <c r="H276" s="236"/>
      <c r="I276" s="236"/>
      <c r="J276" s="236"/>
      <c r="K276" s="70" t="s">
        <v>22</v>
      </c>
      <c r="L276" s="68"/>
      <c r="M276" s="231"/>
      <c r="N276" s="113" t="s">
        <v>19</v>
      </c>
      <c r="O276" s="58" t="s">
        <v>15</v>
      </c>
      <c r="P276" s="195" t="s">
        <v>19</v>
      </c>
      <c r="Q276" s="70" t="s">
        <v>21</v>
      </c>
      <c r="R276" s="236"/>
      <c r="S276" s="236"/>
      <c r="T276" s="236"/>
      <c r="U276" s="70" t="s">
        <v>22</v>
      </c>
      <c r="V276" s="68"/>
      <c r="W276" s="231"/>
      <c r="X276" s="113" t="s">
        <v>19</v>
      </c>
      <c r="Y276" s="58" t="s">
        <v>15</v>
      </c>
      <c r="Z276" s="195" t="s">
        <v>19</v>
      </c>
      <c r="AA276" s="70" t="s">
        <v>21</v>
      </c>
      <c r="AB276" s="236"/>
      <c r="AC276" s="236"/>
      <c r="AD276" s="236"/>
      <c r="AE276" s="70" t="s">
        <v>22</v>
      </c>
      <c r="AF276" s="68"/>
      <c r="AG276" s="231"/>
      <c r="AH276" s="113" t="s">
        <v>19</v>
      </c>
      <c r="AI276" s="58" t="s">
        <v>15</v>
      </c>
      <c r="AJ276" s="195" t="s">
        <v>19</v>
      </c>
      <c r="AK276" s="70" t="s">
        <v>21</v>
      </c>
      <c r="AL276" s="236"/>
      <c r="AM276" s="236"/>
      <c r="AN276" s="236"/>
      <c r="AO276" s="70" t="s">
        <v>22</v>
      </c>
      <c r="AP276" s="68"/>
    </row>
    <row r="277" spans="1:42" ht="28.5" customHeight="1" thickBot="1">
      <c r="B277" s="114">
        <f>VLOOKUP(B274,tablaequipo,7)</f>
        <v>0</v>
      </c>
      <c r="C277" s="231"/>
      <c r="D277" s="113" t="s">
        <v>19</v>
      </c>
      <c r="E277" s="58" t="s">
        <v>15</v>
      </c>
      <c r="F277" s="195" t="s">
        <v>19</v>
      </c>
      <c r="G277" s="146" t="s">
        <v>23</v>
      </c>
      <c r="H277" s="234"/>
      <c r="I277" s="234"/>
      <c r="J277" s="234"/>
      <c r="K277" s="234"/>
      <c r="L277" s="235"/>
      <c r="M277" s="231"/>
      <c r="N277" s="113" t="s">
        <v>19</v>
      </c>
      <c r="O277" s="58" t="s">
        <v>15</v>
      </c>
      <c r="P277" s="195" t="s">
        <v>19</v>
      </c>
      <c r="Q277" s="146" t="s">
        <v>23</v>
      </c>
      <c r="R277" s="234"/>
      <c r="S277" s="234"/>
      <c r="T277" s="234"/>
      <c r="U277" s="234"/>
      <c r="V277" s="235"/>
      <c r="W277" s="231"/>
      <c r="X277" s="113" t="s">
        <v>19</v>
      </c>
      <c r="Y277" s="58" t="s">
        <v>15</v>
      </c>
      <c r="Z277" s="195" t="s">
        <v>19</v>
      </c>
      <c r="AA277" s="146" t="s">
        <v>23</v>
      </c>
      <c r="AB277" s="234"/>
      <c r="AC277" s="234"/>
      <c r="AD277" s="234"/>
      <c r="AE277" s="234"/>
      <c r="AF277" s="235"/>
      <c r="AG277" s="231"/>
      <c r="AH277" s="113" t="s">
        <v>19</v>
      </c>
      <c r="AI277" s="58" t="s">
        <v>15</v>
      </c>
      <c r="AJ277" s="195" t="s">
        <v>19</v>
      </c>
      <c r="AK277" s="146" t="s">
        <v>23</v>
      </c>
      <c r="AL277" s="234"/>
      <c r="AM277" s="234"/>
      <c r="AN277" s="234"/>
      <c r="AO277" s="234"/>
      <c r="AP277" s="235"/>
    </row>
    <row r="278" spans="1:42" ht="28.5" customHeight="1" thickBot="1">
      <c r="B278" s="114">
        <f>VLOOKUP(B274,tablaequipo,8)</f>
        <v>0</v>
      </c>
      <c r="C278" s="231"/>
      <c r="D278" s="113" t="s">
        <v>19</v>
      </c>
      <c r="E278" s="58" t="s">
        <v>15</v>
      </c>
      <c r="F278" s="177" t="s">
        <v>24</v>
      </c>
      <c r="G278" s="70" t="s">
        <v>21</v>
      </c>
      <c r="H278" s="236"/>
      <c r="I278" s="236"/>
      <c r="J278" s="236"/>
      <c r="K278" s="70" t="s">
        <v>22</v>
      </c>
      <c r="L278" s="68"/>
      <c r="M278" s="231"/>
      <c r="N278" s="113" t="s">
        <v>19</v>
      </c>
      <c r="O278" s="58" t="s">
        <v>15</v>
      </c>
      <c r="P278" s="177" t="s">
        <v>24</v>
      </c>
      <c r="Q278" s="70" t="s">
        <v>21</v>
      </c>
      <c r="R278" s="236"/>
      <c r="S278" s="236"/>
      <c r="T278" s="236"/>
      <c r="U278" s="70" t="s">
        <v>22</v>
      </c>
      <c r="V278" s="68"/>
      <c r="W278" s="231"/>
      <c r="X278" s="113" t="s">
        <v>19</v>
      </c>
      <c r="Y278" s="58" t="s">
        <v>15</v>
      </c>
      <c r="Z278" s="177" t="s">
        <v>24</v>
      </c>
      <c r="AA278" s="70" t="s">
        <v>21</v>
      </c>
      <c r="AB278" s="236"/>
      <c r="AC278" s="236"/>
      <c r="AD278" s="236"/>
      <c r="AE278" s="70" t="s">
        <v>22</v>
      </c>
      <c r="AF278" s="68"/>
      <c r="AG278" s="231"/>
      <c r="AH278" s="113" t="s">
        <v>19</v>
      </c>
      <c r="AI278" s="58" t="s">
        <v>15</v>
      </c>
      <c r="AJ278" s="177" t="s">
        <v>24</v>
      </c>
      <c r="AK278" s="70" t="s">
        <v>21</v>
      </c>
      <c r="AL278" s="236"/>
      <c r="AM278" s="236"/>
      <c r="AN278" s="236"/>
      <c r="AO278" s="70" t="s">
        <v>22</v>
      </c>
      <c r="AP278" s="68"/>
    </row>
    <row r="279" spans="1:42" ht="28.5" customHeight="1" thickBot="1">
      <c r="B279" s="121">
        <v>0</v>
      </c>
      <c r="C279" s="231"/>
      <c r="D279" s="113" t="s">
        <v>19</v>
      </c>
      <c r="E279" s="58" t="s">
        <v>15</v>
      </c>
      <c r="F279" s="196" t="s">
        <v>16</v>
      </c>
      <c r="G279" s="140" t="s">
        <v>25</v>
      </c>
      <c r="H279" s="237" t="s">
        <v>26</v>
      </c>
      <c r="I279" s="238"/>
      <c r="J279" s="140" t="s">
        <v>27</v>
      </c>
      <c r="K279" s="237" t="s">
        <v>28</v>
      </c>
      <c r="L279" s="239"/>
      <c r="M279" s="231"/>
      <c r="N279" s="113" t="s">
        <v>19</v>
      </c>
      <c r="O279" s="58" t="s">
        <v>15</v>
      </c>
      <c r="P279" s="196" t="s">
        <v>16</v>
      </c>
      <c r="Q279" s="140" t="s">
        <v>25</v>
      </c>
      <c r="R279" s="237" t="s">
        <v>26</v>
      </c>
      <c r="S279" s="238"/>
      <c r="T279" s="140" t="s">
        <v>27</v>
      </c>
      <c r="U279" s="237" t="s">
        <v>28</v>
      </c>
      <c r="V279" s="239"/>
      <c r="W279" s="231"/>
      <c r="X279" s="113" t="s">
        <v>19</v>
      </c>
      <c r="Y279" s="58" t="s">
        <v>15</v>
      </c>
      <c r="Z279" s="196" t="s">
        <v>16</v>
      </c>
      <c r="AA279" s="140" t="s">
        <v>25</v>
      </c>
      <c r="AB279" s="237" t="s">
        <v>26</v>
      </c>
      <c r="AC279" s="238"/>
      <c r="AD279" s="140" t="s">
        <v>27</v>
      </c>
      <c r="AE279" s="237" t="s">
        <v>28</v>
      </c>
      <c r="AF279" s="239"/>
      <c r="AG279" s="231"/>
      <c r="AH279" s="113" t="s">
        <v>19</v>
      </c>
      <c r="AI279" s="58" t="s">
        <v>15</v>
      </c>
      <c r="AJ279" s="196" t="s">
        <v>16</v>
      </c>
      <c r="AK279" s="140" t="s">
        <v>25</v>
      </c>
      <c r="AL279" s="237" t="s">
        <v>26</v>
      </c>
      <c r="AM279" s="238"/>
      <c r="AN279" s="140" t="s">
        <v>27</v>
      </c>
      <c r="AO279" s="237" t="s">
        <v>28</v>
      </c>
      <c r="AP279" s="239"/>
    </row>
    <row r="280" spans="1:42" ht="28.5" customHeight="1" thickBot="1">
      <c r="B280" s="122" t="str">
        <f>VLOOKUP(B279,tablapermiso,3)</f>
        <v>Seleccione Gestion</v>
      </c>
      <c r="C280" s="232"/>
      <c r="D280" s="113" t="s">
        <v>19</v>
      </c>
      <c r="E280" s="58" t="s">
        <v>15</v>
      </c>
      <c r="F280" s="196" t="s">
        <v>19</v>
      </c>
      <c r="G280" s="141">
        <v>0</v>
      </c>
      <c r="H280" s="240" t="str">
        <f>VLOOKUP(G280,tablaestado,3)</f>
        <v>Seleccione Estado</v>
      </c>
      <c r="I280" s="240"/>
      <c r="J280" s="240"/>
      <c r="K280" s="240"/>
      <c r="L280" s="241"/>
      <c r="M280" s="232"/>
      <c r="N280" s="113" t="s">
        <v>19</v>
      </c>
      <c r="O280" s="58" t="s">
        <v>15</v>
      </c>
      <c r="P280" s="196" t="s">
        <v>19</v>
      </c>
      <c r="Q280" s="141">
        <v>0</v>
      </c>
      <c r="R280" s="240" t="str">
        <f>VLOOKUP(Q280,tablaestado,3)</f>
        <v>Seleccione Estado</v>
      </c>
      <c r="S280" s="240"/>
      <c r="T280" s="240"/>
      <c r="U280" s="240"/>
      <c r="V280" s="241"/>
      <c r="W280" s="232"/>
      <c r="X280" s="113" t="s">
        <v>19</v>
      </c>
      <c r="Y280" s="58" t="s">
        <v>15</v>
      </c>
      <c r="Z280" s="196" t="s">
        <v>19</v>
      </c>
      <c r="AA280" s="141">
        <v>0</v>
      </c>
      <c r="AB280" s="240" t="str">
        <f>VLOOKUP(AA280,tablaestado,3)</f>
        <v>Seleccione Estado</v>
      </c>
      <c r="AC280" s="240"/>
      <c r="AD280" s="240"/>
      <c r="AE280" s="240"/>
      <c r="AF280" s="241"/>
      <c r="AG280" s="232"/>
      <c r="AH280" s="113" t="s">
        <v>19</v>
      </c>
      <c r="AI280" s="58" t="s">
        <v>15</v>
      </c>
      <c r="AJ280" s="196" t="s">
        <v>19</v>
      </c>
      <c r="AK280" s="141">
        <v>0</v>
      </c>
      <c r="AL280" s="240" t="str">
        <f>VLOOKUP(AK280,tablaestado,3)</f>
        <v>Seleccione Estado</v>
      </c>
      <c r="AM280" s="240"/>
      <c r="AN280" s="240"/>
      <c r="AO280" s="240"/>
      <c r="AP280" s="241"/>
    </row>
    <row r="281" spans="1:42" ht="28.5" customHeight="1" thickBot="1">
      <c r="B281" s="251" t="s">
        <v>1</v>
      </c>
      <c r="C281" s="222" t="s">
        <v>2</v>
      </c>
      <c r="D281" s="112" t="s">
        <v>3</v>
      </c>
      <c r="E281" s="224" t="s">
        <v>4</v>
      </c>
      <c r="F281" s="225"/>
      <c r="G281" s="226" t="s">
        <v>5</v>
      </c>
      <c r="H281" s="227"/>
      <c r="I281" s="227"/>
      <c r="J281" s="227"/>
      <c r="K281" s="227"/>
      <c r="L281" s="228"/>
      <c r="M281" s="222" t="s">
        <v>2</v>
      </c>
      <c r="N281" s="112" t="s">
        <v>3</v>
      </c>
      <c r="O281" s="224" t="s">
        <v>4</v>
      </c>
      <c r="P281" s="225"/>
      <c r="Q281" s="226" t="s">
        <v>6</v>
      </c>
      <c r="R281" s="227"/>
      <c r="S281" s="227"/>
      <c r="T281" s="227"/>
      <c r="U281" s="227"/>
      <c r="V281" s="228"/>
      <c r="W281" s="222" t="s">
        <v>2</v>
      </c>
      <c r="X281" s="112" t="s">
        <v>3</v>
      </c>
      <c r="Y281" s="224" t="s">
        <v>4</v>
      </c>
      <c r="Z281" s="225"/>
      <c r="AA281" s="226" t="s">
        <v>7</v>
      </c>
      <c r="AB281" s="227"/>
      <c r="AC281" s="227"/>
      <c r="AD281" s="227"/>
      <c r="AE281" s="227"/>
      <c r="AF281" s="228"/>
      <c r="AG281" s="222" t="s">
        <v>2</v>
      </c>
      <c r="AH281" s="112" t="s">
        <v>3</v>
      </c>
      <c r="AI281" s="224" t="s">
        <v>4</v>
      </c>
      <c r="AJ281" s="225"/>
      <c r="AK281" s="226" t="s">
        <v>8</v>
      </c>
      <c r="AL281" s="227"/>
      <c r="AM281" s="227"/>
      <c r="AN281" s="227"/>
      <c r="AO281" s="227"/>
      <c r="AP281" s="228"/>
    </row>
    <row r="282" spans="1:42" ht="28.5" customHeight="1" thickBot="1">
      <c r="B282" s="252"/>
      <c r="C282" s="223"/>
      <c r="D282" s="199" t="s">
        <v>9</v>
      </c>
      <c r="E282" s="199" t="s">
        <v>10</v>
      </c>
      <c r="F282" s="112" t="s">
        <v>9</v>
      </c>
      <c r="G282" s="229" t="s">
        <v>11</v>
      </c>
      <c r="H282" s="229"/>
      <c r="I282" s="71" t="s">
        <v>12</v>
      </c>
      <c r="J282" s="147">
        <v>0</v>
      </c>
      <c r="K282" s="71" t="s">
        <v>13</v>
      </c>
      <c r="L282" s="148">
        <v>0</v>
      </c>
      <c r="M282" s="223"/>
      <c r="N282" s="199" t="s">
        <v>9</v>
      </c>
      <c r="O282" s="199" t="s">
        <v>10</v>
      </c>
      <c r="P282" s="112" t="s">
        <v>9</v>
      </c>
      <c r="Q282" s="229" t="s">
        <v>11</v>
      </c>
      <c r="R282" s="229"/>
      <c r="S282" s="71" t="s">
        <v>12</v>
      </c>
      <c r="T282" s="147">
        <v>0</v>
      </c>
      <c r="U282" s="71" t="s">
        <v>13</v>
      </c>
      <c r="V282" s="148">
        <v>0</v>
      </c>
      <c r="W282" s="223"/>
      <c r="X282" s="199" t="s">
        <v>9</v>
      </c>
      <c r="Y282" s="199" t="s">
        <v>10</v>
      </c>
      <c r="Z282" s="112" t="s">
        <v>9</v>
      </c>
      <c r="AA282" s="229" t="s">
        <v>11</v>
      </c>
      <c r="AB282" s="229"/>
      <c r="AC282" s="71" t="s">
        <v>12</v>
      </c>
      <c r="AD282" s="147">
        <v>0</v>
      </c>
      <c r="AE282" s="71" t="s">
        <v>13</v>
      </c>
      <c r="AF282" s="148">
        <v>0</v>
      </c>
      <c r="AG282" s="223"/>
      <c r="AH282" s="199" t="s">
        <v>9</v>
      </c>
      <c r="AI282" s="199" t="s">
        <v>10</v>
      </c>
      <c r="AJ282" s="112" t="s">
        <v>9</v>
      </c>
      <c r="AK282" s="229" t="s">
        <v>11</v>
      </c>
      <c r="AL282" s="229"/>
      <c r="AM282" s="71" t="s">
        <v>12</v>
      </c>
      <c r="AN282" s="147">
        <v>0</v>
      </c>
      <c r="AO282" s="71" t="s">
        <v>13</v>
      </c>
      <c r="AP282" s="148">
        <v>0</v>
      </c>
    </row>
    <row r="283" spans="1:42" ht="28.5" customHeight="1">
      <c r="A283" s="132"/>
      <c r="B283" s="58" t="s">
        <v>52</v>
      </c>
      <c r="C283" s="230"/>
      <c r="D283" s="113" t="s">
        <v>16</v>
      </c>
      <c r="E283" s="58" t="s">
        <v>15</v>
      </c>
      <c r="F283" s="195" t="s">
        <v>16</v>
      </c>
      <c r="G283" s="69" t="s">
        <v>17</v>
      </c>
      <c r="H283" s="233"/>
      <c r="I283" s="233"/>
      <c r="J283" s="233"/>
      <c r="K283" s="69" t="s">
        <v>18</v>
      </c>
      <c r="L283" s="72"/>
      <c r="M283" s="230"/>
      <c r="N283" s="113" t="s">
        <v>16</v>
      </c>
      <c r="O283" s="58" t="s">
        <v>15</v>
      </c>
      <c r="P283" s="195" t="s">
        <v>16</v>
      </c>
      <c r="Q283" s="69" t="s">
        <v>17</v>
      </c>
      <c r="R283" s="233"/>
      <c r="S283" s="233"/>
      <c r="T283" s="233"/>
      <c r="U283" s="69" t="s">
        <v>18</v>
      </c>
      <c r="V283" s="72"/>
      <c r="W283" s="230"/>
      <c r="X283" s="113"/>
      <c r="Y283" s="58" t="s">
        <v>15</v>
      </c>
      <c r="Z283" s="195" t="s">
        <v>16</v>
      </c>
      <c r="AA283" s="69" t="s">
        <v>17</v>
      </c>
      <c r="AB283" s="233"/>
      <c r="AC283" s="233"/>
      <c r="AD283" s="233"/>
      <c r="AE283" s="69" t="s">
        <v>18</v>
      </c>
      <c r="AF283" s="72"/>
      <c r="AG283" s="230"/>
      <c r="AH283" s="113"/>
      <c r="AI283" s="58" t="s">
        <v>15</v>
      </c>
      <c r="AJ283" s="195" t="s">
        <v>16</v>
      </c>
      <c r="AK283" s="69" t="s">
        <v>17</v>
      </c>
      <c r="AL283" s="233"/>
      <c r="AM283" s="233"/>
      <c r="AN283" s="233"/>
      <c r="AO283" s="69" t="s">
        <v>18</v>
      </c>
      <c r="AP283" s="72"/>
    </row>
    <row r="284" spans="1:42" ht="28.5" customHeight="1">
      <c r="B284" s="114" t="str">
        <f>VLOOKUP(B283,tablaequipo,4)</f>
        <v>Grua</v>
      </c>
      <c r="C284" s="231"/>
      <c r="D284" s="113" t="s">
        <v>19</v>
      </c>
      <c r="E284" s="58" t="s">
        <v>15</v>
      </c>
      <c r="F284" s="195" t="s">
        <v>19</v>
      </c>
      <c r="G284" s="146" t="s">
        <v>20</v>
      </c>
      <c r="H284" s="234"/>
      <c r="I284" s="234"/>
      <c r="J284" s="234"/>
      <c r="K284" s="234"/>
      <c r="L284" s="235"/>
      <c r="M284" s="231"/>
      <c r="N284" s="113" t="s">
        <v>19</v>
      </c>
      <c r="O284" s="58" t="s">
        <v>15</v>
      </c>
      <c r="P284" s="195" t="s">
        <v>19</v>
      </c>
      <c r="Q284" s="146" t="s">
        <v>20</v>
      </c>
      <c r="R284" s="234"/>
      <c r="S284" s="234"/>
      <c r="T284" s="234"/>
      <c r="U284" s="234"/>
      <c r="V284" s="235"/>
      <c r="W284" s="231"/>
      <c r="X284" s="113"/>
      <c r="Y284" s="58" t="s">
        <v>15</v>
      </c>
      <c r="Z284" s="195" t="s">
        <v>19</v>
      </c>
      <c r="AA284" s="146" t="s">
        <v>20</v>
      </c>
      <c r="AB284" s="234"/>
      <c r="AC284" s="234"/>
      <c r="AD284" s="234"/>
      <c r="AE284" s="234"/>
      <c r="AF284" s="235"/>
      <c r="AG284" s="231"/>
      <c r="AH284" s="113"/>
      <c r="AI284" s="58" t="s">
        <v>15</v>
      </c>
      <c r="AJ284" s="195" t="s">
        <v>19</v>
      </c>
      <c r="AK284" s="146" t="s">
        <v>20</v>
      </c>
      <c r="AL284" s="234"/>
      <c r="AM284" s="234"/>
      <c r="AN284" s="234"/>
      <c r="AO284" s="234"/>
      <c r="AP284" s="235"/>
    </row>
    <row r="285" spans="1:42" ht="28.5" customHeight="1">
      <c r="B285" s="114" t="str">
        <f>VLOOKUP(B283,tablaequipo,6)</f>
        <v>Alguiler Grua</v>
      </c>
      <c r="C285" s="231"/>
      <c r="D285" s="113" t="s">
        <v>19</v>
      </c>
      <c r="E285" s="58" t="s">
        <v>15</v>
      </c>
      <c r="F285" s="195" t="s">
        <v>19</v>
      </c>
      <c r="G285" s="70" t="s">
        <v>21</v>
      </c>
      <c r="H285" s="236"/>
      <c r="I285" s="236"/>
      <c r="J285" s="236"/>
      <c r="K285" s="70" t="s">
        <v>22</v>
      </c>
      <c r="L285" s="68"/>
      <c r="M285" s="231"/>
      <c r="N285" s="113" t="s">
        <v>19</v>
      </c>
      <c r="O285" s="58" t="s">
        <v>15</v>
      </c>
      <c r="P285" s="195" t="s">
        <v>19</v>
      </c>
      <c r="Q285" s="70" t="s">
        <v>21</v>
      </c>
      <c r="R285" s="236"/>
      <c r="S285" s="236"/>
      <c r="T285" s="236"/>
      <c r="U285" s="70" t="s">
        <v>22</v>
      </c>
      <c r="V285" s="68"/>
      <c r="W285" s="231"/>
      <c r="X285" s="113"/>
      <c r="Y285" s="58" t="s">
        <v>15</v>
      </c>
      <c r="Z285" s="195" t="s">
        <v>19</v>
      </c>
      <c r="AA285" s="70" t="s">
        <v>21</v>
      </c>
      <c r="AB285" s="236"/>
      <c r="AC285" s="236"/>
      <c r="AD285" s="236"/>
      <c r="AE285" s="70" t="s">
        <v>22</v>
      </c>
      <c r="AF285" s="68"/>
      <c r="AG285" s="231"/>
      <c r="AH285" s="113"/>
      <c r="AI285" s="58" t="s">
        <v>15</v>
      </c>
      <c r="AJ285" s="195" t="s">
        <v>19</v>
      </c>
      <c r="AK285" s="70" t="s">
        <v>21</v>
      </c>
      <c r="AL285" s="236"/>
      <c r="AM285" s="236"/>
      <c r="AN285" s="236"/>
      <c r="AO285" s="70" t="s">
        <v>22</v>
      </c>
      <c r="AP285" s="68"/>
    </row>
    <row r="286" spans="1:42" ht="28.5" customHeight="1" thickBot="1">
      <c r="B286" s="114">
        <f>VLOOKUP(B283,tablaequipo,7)</f>
        <v>0</v>
      </c>
      <c r="C286" s="231"/>
      <c r="D286" s="113" t="s">
        <v>19</v>
      </c>
      <c r="E286" s="58" t="s">
        <v>15</v>
      </c>
      <c r="F286" s="195" t="s">
        <v>19</v>
      </c>
      <c r="G286" s="146" t="s">
        <v>23</v>
      </c>
      <c r="H286" s="234"/>
      <c r="I286" s="234"/>
      <c r="J286" s="234"/>
      <c r="K286" s="234"/>
      <c r="L286" s="235"/>
      <c r="M286" s="231"/>
      <c r="N286" s="113" t="s">
        <v>19</v>
      </c>
      <c r="O286" s="58" t="s">
        <v>15</v>
      </c>
      <c r="P286" s="195" t="s">
        <v>19</v>
      </c>
      <c r="Q286" s="146" t="s">
        <v>23</v>
      </c>
      <c r="R286" s="234"/>
      <c r="S286" s="234"/>
      <c r="T286" s="234"/>
      <c r="U286" s="234"/>
      <c r="V286" s="235"/>
      <c r="W286" s="231"/>
      <c r="X286" s="113"/>
      <c r="Y286" s="58" t="s">
        <v>15</v>
      </c>
      <c r="Z286" s="195" t="s">
        <v>19</v>
      </c>
      <c r="AA286" s="146" t="s">
        <v>23</v>
      </c>
      <c r="AB286" s="234"/>
      <c r="AC286" s="234"/>
      <c r="AD286" s="234"/>
      <c r="AE286" s="234"/>
      <c r="AF286" s="235"/>
      <c r="AG286" s="231"/>
      <c r="AH286" s="113"/>
      <c r="AI286" s="58" t="s">
        <v>15</v>
      </c>
      <c r="AJ286" s="195" t="s">
        <v>19</v>
      </c>
      <c r="AK286" s="146" t="s">
        <v>23</v>
      </c>
      <c r="AL286" s="234"/>
      <c r="AM286" s="234"/>
      <c r="AN286" s="234"/>
      <c r="AO286" s="234"/>
      <c r="AP286" s="235"/>
    </row>
    <row r="287" spans="1:42" ht="28.5" customHeight="1" thickBot="1">
      <c r="B287" s="114">
        <f>VLOOKUP(B283,tablaequipo,8)</f>
        <v>0</v>
      </c>
      <c r="C287" s="231"/>
      <c r="D287" s="113" t="s">
        <v>19</v>
      </c>
      <c r="E287" s="58" t="s">
        <v>15</v>
      </c>
      <c r="F287" s="177" t="s">
        <v>24</v>
      </c>
      <c r="G287" s="70" t="s">
        <v>21</v>
      </c>
      <c r="H287" s="236"/>
      <c r="I287" s="236"/>
      <c r="J287" s="236"/>
      <c r="K287" s="70" t="s">
        <v>22</v>
      </c>
      <c r="L287" s="68"/>
      <c r="M287" s="231"/>
      <c r="N287" s="113" t="s">
        <v>19</v>
      </c>
      <c r="O287" s="58" t="s">
        <v>15</v>
      </c>
      <c r="P287" s="177" t="s">
        <v>24</v>
      </c>
      <c r="Q287" s="70" t="s">
        <v>21</v>
      </c>
      <c r="R287" s="236"/>
      <c r="S287" s="236"/>
      <c r="T287" s="236"/>
      <c r="U287" s="70" t="s">
        <v>22</v>
      </c>
      <c r="V287" s="68"/>
      <c r="W287" s="231"/>
      <c r="X287" s="113"/>
      <c r="Y287" s="58" t="s">
        <v>15</v>
      </c>
      <c r="Z287" s="177" t="s">
        <v>24</v>
      </c>
      <c r="AA287" s="70" t="s">
        <v>21</v>
      </c>
      <c r="AB287" s="236"/>
      <c r="AC287" s="236"/>
      <c r="AD287" s="236"/>
      <c r="AE287" s="70" t="s">
        <v>22</v>
      </c>
      <c r="AF287" s="68"/>
      <c r="AG287" s="231"/>
      <c r="AH287" s="113"/>
      <c r="AI287" s="58" t="s">
        <v>15</v>
      </c>
      <c r="AJ287" s="177" t="s">
        <v>24</v>
      </c>
      <c r="AK287" s="70" t="s">
        <v>21</v>
      </c>
      <c r="AL287" s="236"/>
      <c r="AM287" s="236"/>
      <c r="AN287" s="236"/>
      <c r="AO287" s="70" t="s">
        <v>22</v>
      </c>
      <c r="AP287" s="68"/>
    </row>
    <row r="288" spans="1:42" ht="28.5" customHeight="1" thickBot="1">
      <c r="B288" s="121">
        <v>0</v>
      </c>
      <c r="C288" s="231"/>
      <c r="D288" s="113" t="s">
        <v>19</v>
      </c>
      <c r="E288" s="58" t="s">
        <v>15</v>
      </c>
      <c r="F288" s="196" t="s">
        <v>16</v>
      </c>
      <c r="G288" s="140" t="s">
        <v>25</v>
      </c>
      <c r="H288" s="237" t="s">
        <v>26</v>
      </c>
      <c r="I288" s="238"/>
      <c r="J288" s="140" t="s">
        <v>27</v>
      </c>
      <c r="K288" s="237" t="s">
        <v>28</v>
      </c>
      <c r="L288" s="239"/>
      <c r="M288" s="231"/>
      <c r="N288" s="113" t="s">
        <v>19</v>
      </c>
      <c r="O288" s="58" t="s">
        <v>15</v>
      </c>
      <c r="P288" s="196" t="s">
        <v>16</v>
      </c>
      <c r="Q288" s="140" t="s">
        <v>25</v>
      </c>
      <c r="R288" s="237" t="s">
        <v>26</v>
      </c>
      <c r="S288" s="238"/>
      <c r="T288" s="140" t="s">
        <v>27</v>
      </c>
      <c r="U288" s="237" t="s">
        <v>28</v>
      </c>
      <c r="V288" s="239"/>
      <c r="W288" s="231"/>
      <c r="X288" s="113"/>
      <c r="Y288" s="58" t="s">
        <v>15</v>
      </c>
      <c r="Z288" s="196" t="s">
        <v>16</v>
      </c>
      <c r="AA288" s="140" t="s">
        <v>25</v>
      </c>
      <c r="AB288" s="237" t="s">
        <v>26</v>
      </c>
      <c r="AC288" s="238"/>
      <c r="AD288" s="140" t="s">
        <v>27</v>
      </c>
      <c r="AE288" s="237" t="s">
        <v>28</v>
      </c>
      <c r="AF288" s="239"/>
      <c r="AG288" s="231"/>
      <c r="AH288" s="113"/>
      <c r="AI288" s="58" t="s">
        <v>15</v>
      </c>
      <c r="AJ288" s="196" t="s">
        <v>16</v>
      </c>
      <c r="AK288" s="140" t="s">
        <v>25</v>
      </c>
      <c r="AL288" s="237" t="s">
        <v>26</v>
      </c>
      <c r="AM288" s="238"/>
      <c r="AN288" s="140" t="s">
        <v>27</v>
      </c>
      <c r="AO288" s="237" t="s">
        <v>28</v>
      </c>
      <c r="AP288" s="239"/>
    </row>
    <row r="289" spans="1:42" ht="28.5" customHeight="1" thickBot="1">
      <c r="B289" s="122" t="str">
        <f>VLOOKUP(B288,tablapermiso,3)</f>
        <v>Seleccione Gestion</v>
      </c>
      <c r="C289" s="232"/>
      <c r="D289" s="113" t="s">
        <v>19</v>
      </c>
      <c r="E289" s="58" t="s">
        <v>15</v>
      </c>
      <c r="F289" s="196" t="s">
        <v>19</v>
      </c>
      <c r="G289" s="141">
        <v>0</v>
      </c>
      <c r="H289" s="240" t="str">
        <f>VLOOKUP(G289,tablaestado,3)</f>
        <v>Seleccione Estado</v>
      </c>
      <c r="I289" s="240"/>
      <c r="J289" s="240"/>
      <c r="K289" s="240"/>
      <c r="L289" s="241"/>
      <c r="M289" s="232"/>
      <c r="N289" s="113" t="s">
        <v>19</v>
      </c>
      <c r="O289" s="58" t="s">
        <v>15</v>
      </c>
      <c r="P289" s="196" t="s">
        <v>19</v>
      </c>
      <c r="Q289" s="141">
        <v>0</v>
      </c>
      <c r="R289" s="240" t="str">
        <f>VLOOKUP(Q289,tablaestado,3)</f>
        <v>Seleccione Estado</v>
      </c>
      <c r="S289" s="240"/>
      <c r="T289" s="240"/>
      <c r="U289" s="240"/>
      <c r="V289" s="241"/>
      <c r="W289" s="232"/>
      <c r="X289" s="113"/>
      <c r="Y289" s="58" t="s">
        <v>15</v>
      </c>
      <c r="Z289" s="196" t="s">
        <v>19</v>
      </c>
      <c r="AA289" s="141">
        <v>0</v>
      </c>
      <c r="AB289" s="240" t="str">
        <f>VLOOKUP(AA289,tablaestado,3)</f>
        <v>Seleccione Estado</v>
      </c>
      <c r="AC289" s="240"/>
      <c r="AD289" s="240"/>
      <c r="AE289" s="240"/>
      <c r="AF289" s="241"/>
      <c r="AG289" s="232"/>
      <c r="AH289" s="113"/>
      <c r="AI289" s="58" t="s">
        <v>15</v>
      </c>
      <c r="AJ289" s="196" t="s">
        <v>19</v>
      </c>
      <c r="AK289" s="141">
        <v>0</v>
      </c>
      <c r="AL289" s="240" t="str">
        <f>VLOOKUP(AK289,tablaestado,3)</f>
        <v>Seleccione Estado</v>
      </c>
      <c r="AM289" s="240"/>
      <c r="AN289" s="240"/>
      <c r="AO289" s="240"/>
      <c r="AP289" s="241"/>
    </row>
    <row r="290" spans="1:42" ht="28.5" customHeight="1" thickBot="1">
      <c r="B290" s="251" t="s">
        <v>1</v>
      </c>
      <c r="C290" s="222" t="s">
        <v>2</v>
      </c>
      <c r="D290" s="112" t="s">
        <v>3</v>
      </c>
      <c r="E290" s="224" t="s">
        <v>4</v>
      </c>
      <c r="F290" s="225"/>
      <c r="G290" s="226" t="s">
        <v>5</v>
      </c>
      <c r="H290" s="227"/>
      <c r="I290" s="227"/>
      <c r="J290" s="227"/>
      <c r="K290" s="227"/>
      <c r="L290" s="228"/>
      <c r="M290" s="222" t="s">
        <v>2</v>
      </c>
      <c r="N290" s="112" t="s">
        <v>3</v>
      </c>
      <c r="O290" s="224" t="s">
        <v>4</v>
      </c>
      <c r="P290" s="225"/>
      <c r="Q290" s="226" t="s">
        <v>6</v>
      </c>
      <c r="R290" s="227"/>
      <c r="S290" s="227"/>
      <c r="T290" s="227"/>
      <c r="U290" s="227"/>
      <c r="V290" s="228"/>
      <c r="W290" s="222" t="s">
        <v>2</v>
      </c>
      <c r="X290" s="112" t="s">
        <v>3</v>
      </c>
      <c r="Y290" s="224" t="s">
        <v>4</v>
      </c>
      <c r="Z290" s="225"/>
      <c r="AA290" s="226" t="s">
        <v>7</v>
      </c>
      <c r="AB290" s="227"/>
      <c r="AC290" s="227"/>
      <c r="AD290" s="227"/>
      <c r="AE290" s="227"/>
      <c r="AF290" s="228"/>
      <c r="AG290" s="222" t="s">
        <v>2</v>
      </c>
      <c r="AH290" s="112" t="s">
        <v>3</v>
      </c>
      <c r="AI290" s="224" t="s">
        <v>4</v>
      </c>
      <c r="AJ290" s="225"/>
      <c r="AK290" s="226" t="s">
        <v>8</v>
      </c>
      <c r="AL290" s="227"/>
      <c r="AM290" s="227"/>
      <c r="AN290" s="227"/>
      <c r="AO290" s="227"/>
      <c r="AP290" s="228"/>
    </row>
    <row r="291" spans="1:42" ht="28.5" customHeight="1" thickBot="1">
      <c r="B291" s="252"/>
      <c r="C291" s="223"/>
      <c r="D291" s="199" t="s">
        <v>9</v>
      </c>
      <c r="E291" s="199" t="s">
        <v>10</v>
      </c>
      <c r="F291" s="112" t="s">
        <v>9</v>
      </c>
      <c r="G291" s="229" t="s">
        <v>11</v>
      </c>
      <c r="H291" s="229"/>
      <c r="I291" s="71" t="s">
        <v>12</v>
      </c>
      <c r="J291" s="147">
        <v>0</v>
      </c>
      <c r="K291" s="71" t="s">
        <v>13</v>
      </c>
      <c r="L291" s="148">
        <v>0</v>
      </c>
      <c r="M291" s="223"/>
      <c r="N291" s="199" t="s">
        <v>9</v>
      </c>
      <c r="O291" s="199" t="s">
        <v>10</v>
      </c>
      <c r="P291" s="112" t="s">
        <v>9</v>
      </c>
      <c r="Q291" s="229" t="s">
        <v>11</v>
      </c>
      <c r="R291" s="229"/>
      <c r="S291" s="71" t="s">
        <v>12</v>
      </c>
      <c r="T291" s="147">
        <v>0</v>
      </c>
      <c r="U291" s="71" t="s">
        <v>13</v>
      </c>
      <c r="V291" s="148">
        <v>0</v>
      </c>
      <c r="W291" s="223"/>
      <c r="X291" s="199" t="s">
        <v>9</v>
      </c>
      <c r="Y291" s="199" t="s">
        <v>10</v>
      </c>
      <c r="Z291" s="112" t="s">
        <v>9</v>
      </c>
      <c r="AA291" s="229" t="s">
        <v>11</v>
      </c>
      <c r="AB291" s="229"/>
      <c r="AC291" s="71" t="s">
        <v>12</v>
      </c>
      <c r="AD291" s="147">
        <v>0</v>
      </c>
      <c r="AE291" s="71" t="s">
        <v>13</v>
      </c>
      <c r="AF291" s="148">
        <v>0</v>
      </c>
      <c r="AG291" s="223"/>
      <c r="AH291" s="199" t="s">
        <v>9</v>
      </c>
      <c r="AI291" s="199" t="s">
        <v>10</v>
      </c>
      <c r="AJ291" s="112" t="s">
        <v>9</v>
      </c>
      <c r="AK291" s="229" t="s">
        <v>11</v>
      </c>
      <c r="AL291" s="229"/>
      <c r="AM291" s="71" t="s">
        <v>12</v>
      </c>
      <c r="AN291" s="147">
        <v>0</v>
      </c>
      <c r="AO291" s="71" t="s">
        <v>13</v>
      </c>
      <c r="AP291" s="148">
        <v>0</v>
      </c>
    </row>
    <row r="292" spans="1:42" ht="28.5" customHeight="1">
      <c r="A292" s="132"/>
      <c r="B292" s="58" t="s">
        <v>81</v>
      </c>
      <c r="C292" s="230"/>
      <c r="D292" s="113" t="s">
        <v>16</v>
      </c>
      <c r="E292" s="58" t="s">
        <v>15</v>
      </c>
      <c r="F292" s="195" t="s">
        <v>16</v>
      </c>
      <c r="G292" s="69" t="s">
        <v>17</v>
      </c>
      <c r="H292" s="233"/>
      <c r="I292" s="233"/>
      <c r="J292" s="233"/>
      <c r="K292" s="69" t="s">
        <v>18</v>
      </c>
      <c r="L292" s="72"/>
      <c r="M292" s="230"/>
      <c r="N292" s="113" t="s">
        <v>16</v>
      </c>
      <c r="O292" s="58" t="s">
        <v>15</v>
      </c>
      <c r="P292" s="195" t="s">
        <v>16</v>
      </c>
      <c r="Q292" s="69" t="s">
        <v>17</v>
      </c>
      <c r="R292" s="233"/>
      <c r="S292" s="233"/>
      <c r="T292" s="233"/>
      <c r="U292" s="69" t="s">
        <v>18</v>
      </c>
      <c r="V292" s="72"/>
      <c r="W292" s="230"/>
      <c r="X292" s="113" t="s">
        <v>16</v>
      </c>
      <c r="Y292" s="58" t="s">
        <v>15</v>
      </c>
      <c r="Z292" s="195" t="s">
        <v>16</v>
      </c>
      <c r="AA292" s="69" t="s">
        <v>17</v>
      </c>
      <c r="AB292" s="233"/>
      <c r="AC292" s="233"/>
      <c r="AD292" s="233"/>
      <c r="AE292" s="69" t="s">
        <v>18</v>
      </c>
      <c r="AF292" s="72"/>
      <c r="AG292" s="230"/>
      <c r="AH292" s="113" t="s">
        <v>16</v>
      </c>
      <c r="AI292" s="58" t="s">
        <v>15</v>
      </c>
      <c r="AJ292" s="195" t="s">
        <v>16</v>
      </c>
      <c r="AK292" s="69" t="s">
        <v>17</v>
      </c>
      <c r="AL292" s="233"/>
      <c r="AM292" s="233"/>
      <c r="AN292" s="233"/>
      <c r="AO292" s="69" t="s">
        <v>18</v>
      </c>
      <c r="AP292" s="72"/>
    </row>
    <row r="293" spans="1:42" ht="28.5" customHeight="1">
      <c r="B293" s="114" t="str">
        <f>VLOOKUP(B292,tablaequipo,4)</f>
        <v>Grua</v>
      </c>
      <c r="C293" s="231"/>
      <c r="D293" s="113" t="s">
        <v>19</v>
      </c>
      <c r="E293" s="58" t="s">
        <v>15</v>
      </c>
      <c r="F293" s="195" t="s">
        <v>19</v>
      </c>
      <c r="G293" s="146" t="s">
        <v>20</v>
      </c>
      <c r="H293" s="234"/>
      <c r="I293" s="234"/>
      <c r="J293" s="234"/>
      <c r="K293" s="234"/>
      <c r="L293" s="235"/>
      <c r="M293" s="231"/>
      <c r="N293" s="113" t="s">
        <v>19</v>
      </c>
      <c r="O293" s="58" t="s">
        <v>15</v>
      </c>
      <c r="P293" s="195" t="s">
        <v>19</v>
      </c>
      <c r="Q293" s="146" t="s">
        <v>20</v>
      </c>
      <c r="R293" s="234"/>
      <c r="S293" s="234"/>
      <c r="T293" s="234"/>
      <c r="U293" s="234"/>
      <c r="V293" s="235"/>
      <c r="W293" s="231"/>
      <c r="X293" s="113" t="s">
        <v>19</v>
      </c>
      <c r="Y293" s="58" t="s">
        <v>15</v>
      </c>
      <c r="Z293" s="195" t="s">
        <v>19</v>
      </c>
      <c r="AA293" s="146" t="s">
        <v>20</v>
      </c>
      <c r="AB293" s="234"/>
      <c r="AC293" s="234"/>
      <c r="AD293" s="234"/>
      <c r="AE293" s="234"/>
      <c r="AF293" s="235"/>
      <c r="AG293" s="231"/>
      <c r="AH293" s="113" t="s">
        <v>19</v>
      </c>
      <c r="AI293" s="58" t="s">
        <v>15</v>
      </c>
      <c r="AJ293" s="195" t="s">
        <v>19</v>
      </c>
      <c r="AK293" s="146" t="s">
        <v>20</v>
      </c>
      <c r="AL293" s="234"/>
      <c r="AM293" s="234"/>
      <c r="AN293" s="234"/>
      <c r="AO293" s="234"/>
      <c r="AP293" s="235"/>
    </row>
    <row r="294" spans="1:42" ht="28.5" customHeight="1">
      <c r="B294" s="114" t="str">
        <f>VLOOKUP(B292,tablaequipo,6)</f>
        <v>Alguiler Grua</v>
      </c>
      <c r="C294" s="231"/>
      <c r="D294" s="113" t="s">
        <v>19</v>
      </c>
      <c r="E294" s="58" t="s">
        <v>15</v>
      </c>
      <c r="F294" s="195" t="s">
        <v>19</v>
      </c>
      <c r="G294" s="70" t="s">
        <v>21</v>
      </c>
      <c r="H294" s="236"/>
      <c r="I294" s="236"/>
      <c r="J294" s="236"/>
      <c r="K294" s="70" t="s">
        <v>22</v>
      </c>
      <c r="L294" s="68"/>
      <c r="M294" s="231"/>
      <c r="N294" s="113" t="s">
        <v>19</v>
      </c>
      <c r="O294" s="58" t="s">
        <v>15</v>
      </c>
      <c r="P294" s="195" t="s">
        <v>19</v>
      </c>
      <c r="Q294" s="70" t="s">
        <v>21</v>
      </c>
      <c r="R294" s="236"/>
      <c r="S294" s="236"/>
      <c r="T294" s="236"/>
      <c r="U294" s="70" t="s">
        <v>22</v>
      </c>
      <c r="V294" s="68"/>
      <c r="W294" s="231"/>
      <c r="X294" s="113" t="s">
        <v>19</v>
      </c>
      <c r="Y294" s="58" t="s">
        <v>15</v>
      </c>
      <c r="Z294" s="195" t="s">
        <v>19</v>
      </c>
      <c r="AA294" s="70" t="s">
        <v>21</v>
      </c>
      <c r="AB294" s="236"/>
      <c r="AC294" s="236"/>
      <c r="AD294" s="236"/>
      <c r="AE294" s="70" t="s">
        <v>22</v>
      </c>
      <c r="AF294" s="68"/>
      <c r="AG294" s="231"/>
      <c r="AH294" s="113" t="s">
        <v>19</v>
      </c>
      <c r="AI294" s="58" t="s">
        <v>15</v>
      </c>
      <c r="AJ294" s="195" t="s">
        <v>19</v>
      </c>
      <c r="AK294" s="70" t="s">
        <v>21</v>
      </c>
      <c r="AL294" s="236"/>
      <c r="AM294" s="236"/>
      <c r="AN294" s="236"/>
      <c r="AO294" s="70" t="s">
        <v>22</v>
      </c>
      <c r="AP294" s="68"/>
    </row>
    <row r="295" spans="1:42" ht="28.5" customHeight="1" thickBot="1">
      <c r="B295" s="114">
        <f>VLOOKUP(B292,tablaequipo,7)</f>
        <v>0</v>
      </c>
      <c r="C295" s="231"/>
      <c r="D295" s="113" t="s">
        <v>19</v>
      </c>
      <c r="E295" s="58" t="s">
        <v>15</v>
      </c>
      <c r="F295" s="195" t="s">
        <v>19</v>
      </c>
      <c r="G295" s="146" t="s">
        <v>23</v>
      </c>
      <c r="H295" s="234"/>
      <c r="I295" s="234"/>
      <c r="J295" s="234"/>
      <c r="K295" s="234"/>
      <c r="L295" s="235"/>
      <c r="M295" s="231"/>
      <c r="N295" s="113" t="s">
        <v>19</v>
      </c>
      <c r="O295" s="58" t="s">
        <v>15</v>
      </c>
      <c r="P295" s="195" t="s">
        <v>19</v>
      </c>
      <c r="Q295" s="146" t="s">
        <v>23</v>
      </c>
      <c r="R295" s="234"/>
      <c r="S295" s="234"/>
      <c r="T295" s="234"/>
      <c r="U295" s="234"/>
      <c r="V295" s="235"/>
      <c r="W295" s="231"/>
      <c r="X295" s="113" t="s">
        <v>19</v>
      </c>
      <c r="Y295" s="58" t="s">
        <v>15</v>
      </c>
      <c r="Z295" s="195" t="s">
        <v>19</v>
      </c>
      <c r="AA295" s="146" t="s">
        <v>23</v>
      </c>
      <c r="AB295" s="234"/>
      <c r="AC295" s="234"/>
      <c r="AD295" s="234"/>
      <c r="AE295" s="234"/>
      <c r="AF295" s="235"/>
      <c r="AG295" s="231"/>
      <c r="AH295" s="113" t="s">
        <v>19</v>
      </c>
      <c r="AI295" s="58" t="s">
        <v>15</v>
      </c>
      <c r="AJ295" s="195" t="s">
        <v>19</v>
      </c>
      <c r="AK295" s="146" t="s">
        <v>23</v>
      </c>
      <c r="AL295" s="234"/>
      <c r="AM295" s="234"/>
      <c r="AN295" s="234"/>
      <c r="AO295" s="234"/>
      <c r="AP295" s="235"/>
    </row>
    <row r="296" spans="1:42" ht="28.5" customHeight="1" thickBot="1">
      <c r="B296" s="114">
        <f>VLOOKUP(B292,tablaequipo,8)</f>
        <v>0</v>
      </c>
      <c r="C296" s="231"/>
      <c r="D296" s="113" t="s">
        <v>19</v>
      </c>
      <c r="E296" s="58" t="s">
        <v>15</v>
      </c>
      <c r="F296" s="177" t="s">
        <v>24</v>
      </c>
      <c r="G296" s="70" t="s">
        <v>21</v>
      </c>
      <c r="H296" s="236"/>
      <c r="I296" s="236"/>
      <c r="J296" s="236"/>
      <c r="K296" s="70" t="s">
        <v>22</v>
      </c>
      <c r="L296" s="68"/>
      <c r="M296" s="231"/>
      <c r="N296" s="113" t="s">
        <v>19</v>
      </c>
      <c r="O296" s="58" t="s">
        <v>15</v>
      </c>
      <c r="P296" s="177" t="s">
        <v>24</v>
      </c>
      <c r="Q296" s="70" t="s">
        <v>21</v>
      </c>
      <c r="R296" s="236"/>
      <c r="S296" s="236"/>
      <c r="T296" s="236"/>
      <c r="U296" s="70" t="s">
        <v>22</v>
      </c>
      <c r="V296" s="68"/>
      <c r="W296" s="231"/>
      <c r="X296" s="113" t="s">
        <v>19</v>
      </c>
      <c r="Y296" s="58" t="s">
        <v>15</v>
      </c>
      <c r="Z296" s="177" t="s">
        <v>24</v>
      </c>
      <c r="AA296" s="70" t="s">
        <v>21</v>
      </c>
      <c r="AB296" s="236"/>
      <c r="AC296" s="236"/>
      <c r="AD296" s="236"/>
      <c r="AE296" s="70" t="s">
        <v>22</v>
      </c>
      <c r="AF296" s="68"/>
      <c r="AG296" s="231"/>
      <c r="AH296" s="113" t="s">
        <v>19</v>
      </c>
      <c r="AI296" s="58" t="s">
        <v>15</v>
      </c>
      <c r="AJ296" s="177" t="s">
        <v>24</v>
      </c>
      <c r="AK296" s="70" t="s">
        <v>21</v>
      </c>
      <c r="AL296" s="236"/>
      <c r="AM296" s="236"/>
      <c r="AN296" s="236"/>
      <c r="AO296" s="70" t="s">
        <v>22</v>
      </c>
      <c r="AP296" s="68"/>
    </row>
    <row r="297" spans="1:42" ht="28.5" customHeight="1" thickBot="1">
      <c r="B297" s="121">
        <v>0</v>
      </c>
      <c r="C297" s="231"/>
      <c r="D297" s="113" t="s">
        <v>19</v>
      </c>
      <c r="E297" s="58" t="s">
        <v>15</v>
      </c>
      <c r="F297" s="196" t="s">
        <v>16</v>
      </c>
      <c r="G297" s="140" t="s">
        <v>25</v>
      </c>
      <c r="H297" s="237" t="s">
        <v>26</v>
      </c>
      <c r="I297" s="238"/>
      <c r="J297" s="140" t="s">
        <v>27</v>
      </c>
      <c r="K297" s="237" t="s">
        <v>28</v>
      </c>
      <c r="L297" s="239"/>
      <c r="M297" s="231"/>
      <c r="N297" s="113" t="s">
        <v>19</v>
      </c>
      <c r="O297" s="58" t="s">
        <v>15</v>
      </c>
      <c r="P297" s="196" t="s">
        <v>16</v>
      </c>
      <c r="Q297" s="140" t="s">
        <v>25</v>
      </c>
      <c r="R297" s="237" t="s">
        <v>26</v>
      </c>
      <c r="S297" s="238"/>
      <c r="T297" s="140" t="s">
        <v>27</v>
      </c>
      <c r="U297" s="237" t="s">
        <v>28</v>
      </c>
      <c r="V297" s="239"/>
      <c r="W297" s="231"/>
      <c r="X297" s="113" t="s">
        <v>19</v>
      </c>
      <c r="Y297" s="58" t="s">
        <v>15</v>
      </c>
      <c r="Z297" s="196" t="s">
        <v>16</v>
      </c>
      <c r="AA297" s="140" t="s">
        <v>25</v>
      </c>
      <c r="AB297" s="237" t="s">
        <v>26</v>
      </c>
      <c r="AC297" s="238"/>
      <c r="AD297" s="140" t="s">
        <v>27</v>
      </c>
      <c r="AE297" s="237" t="s">
        <v>28</v>
      </c>
      <c r="AF297" s="239"/>
      <c r="AG297" s="231"/>
      <c r="AH297" s="113" t="s">
        <v>19</v>
      </c>
      <c r="AI297" s="58" t="s">
        <v>15</v>
      </c>
      <c r="AJ297" s="196" t="s">
        <v>16</v>
      </c>
      <c r="AK297" s="140" t="s">
        <v>25</v>
      </c>
      <c r="AL297" s="237" t="s">
        <v>26</v>
      </c>
      <c r="AM297" s="238"/>
      <c r="AN297" s="140" t="s">
        <v>27</v>
      </c>
      <c r="AO297" s="237" t="s">
        <v>28</v>
      </c>
      <c r="AP297" s="239"/>
    </row>
    <row r="298" spans="1:42" ht="28.5" customHeight="1" thickBot="1">
      <c r="B298" s="122" t="str">
        <f>VLOOKUP(B297,tablapermiso,3)</f>
        <v>Seleccione Gestion</v>
      </c>
      <c r="C298" s="232"/>
      <c r="D298" s="113" t="s">
        <v>19</v>
      </c>
      <c r="E298" s="58" t="s">
        <v>15</v>
      </c>
      <c r="F298" s="196" t="s">
        <v>19</v>
      </c>
      <c r="G298" s="141">
        <v>0</v>
      </c>
      <c r="H298" s="240" t="str">
        <f>VLOOKUP(G298,tablaestado,3)</f>
        <v>Seleccione Estado</v>
      </c>
      <c r="I298" s="240"/>
      <c r="J298" s="240"/>
      <c r="K298" s="240"/>
      <c r="L298" s="241"/>
      <c r="M298" s="232"/>
      <c r="N298" s="113" t="s">
        <v>19</v>
      </c>
      <c r="O298" s="58" t="s">
        <v>15</v>
      </c>
      <c r="P298" s="196" t="s">
        <v>19</v>
      </c>
      <c r="Q298" s="141">
        <v>0</v>
      </c>
      <c r="R298" s="240" t="str">
        <f>VLOOKUP(Q298,tablaestado,3)</f>
        <v>Seleccione Estado</v>
      </c>
      <c r="S298" s="240"/>
      <c r="T298" s="240"/>
      <c r="U298" s="240"/>
      <c r="V298" s="241"/>
      <c r="W298" s="232"/>
      <c r="X298" s="113" t="s">
        <v>19</v>
      </c>
      <c r="Y298" s="58" t="s">
        <v>15</v>
      </c>
      <c r="Z298" s="196" t="s">
        <v>19</v>
      </c>
      <c r="AA298" s="141">
        <v>0</v>
      </c>
      <c r="AB298" s="240" t="str">
        <f>VLOOKUP(AA298,tablaestado,3)</f>
        <v>Seleccione Estado</v>
      </c>
      <c r="AC298" s="240"/>
      <c r="AD298" s="240"/>
      <c r="AE298" s="240"/>
      <c r="AF298" s="241"/>
      <c r="AG298" s="232"/>
      <c r="AH298" s="113" t="s">
        <v>19</v>
      </c>
      <c r="AI298" s="58" t="s">
        <v>15</v>
      </c>
      <c r="AJ298" s="196" t="s">
        <v>19</v>
      </c>
      <c r="AK298" s="141">
        <v>0</v>
      </c>
      <c r="AL298" s="240" t="str">
        <f>VLOOKUP(AK298,tablaestado,3)</f>
        <v>Seleccione Estado</v>
      </c>
      <c r="AM298" s="240"/>
      <c r="AN298" s="240"/>
      <c r="AO298" s="240"/>
      <c r="AP298" s="241"/>
    </row>
    <row r="299" spans="1:42" ht="28.5" customHeight="1" thickBot="1">
      <c r="B299" s="75" t="s">
        <v>1</v>
      </c>
      <c r="C299" s="75"/>
      <c r="D299" s="75" t="s">
        <v>82</v>
      </c>
      <c r="E299" s="76" t="s">
        <v>83</v>
      </c>
      <c r="F299" s="77" t="s">
        <v>22</v>
      </c>
      <c r="G299" s="229" t="s">
        <v>11</v>
      </c>
      <c r="H299" s="229"/>
      <c r="I299" s="81" t="s">
        <v>12</v>
      </c>
      <c r="J299" s="149"/>
      <c r="K299" s="81" t="s">
        <v>13</v>
      </c>
      <c r="L299" s="150">
        <v>0</v>
      </c>
    </row>
    <row r="300" spans="1:42" ht="28.5" customHeight="1" thickBot="1">
      <c r="B300" s="105" t="s">
        <v>84</v>
      </c>
      <c r="C300" s="109"/>
      <c r="D300" s="110" t="s">
        <v>85</v>
      </c>
      <c r="E300" s="82">
        <f>VLOOKUP(D300,personal,5)</f>
        <v>0</v>
      </c>
      <c r="F300" s="111"/>
      <c r="G300" s="73" t="s">
        <v>17</v>
      </c>
      <c r="H300" s="246"/>
      <c r="I300" s="246"/>
      <c r="J300" s="246"/>
      <c r="K300" s="73" t="s">
        <v>86</v>
      </c>
      <c r="L300" s="83"/>
    </row>
    <row r="301" spans="1:42" ht="28.5" customHeight="1">
      <c r="B301" s="67">
        <f>VLOOKUP(B300,tablaequipo,3)</f>
        <v>0</v>
      </c>
      <c r="C301" s="115"/>
      <c r="D301" s="135"/>
      <c r="E301" s="59"/>
      <c r="F301" s="197"/>
      <c r="G301" s="193" t="s">
        <v>20</v>
      </c>
      <c r="H301" s="242"/>
      <c r="I301" s="242"/>
      <c r="J301" s="242"/>
      <c r="K301" s="242"/>
      <c r="L301" s="243"/>
    </row>
    <row r="302" spans="1:42" ht="28.5" customHeight="1" thickBot="1">
      <c r="B302" s="19" t="str">
        <f>VLOOKUP(B300,tablaequipo,4)</f>
        <v>Camion</v>
      </c>
      <c r="C302" s="116"/>
      <c r="D302" s="136"/>
      <c r="E302" s="59"/>
      <c r="F302" s="197"/>
      <c r="G302" s="74" t="s">
        <v>21</v>
      </c>
      <c r="H302" s="244"/>
      <c r="I302" s="244"/>
      <c r="J302" s="244"/>
      <c r="K302" s="74" t="s">
        <v>22</v>
      </c>
      <c r="L302" s="78"/>
    </row>
    <row r="303" spans="1:42" ht="28.5" customHeight="1">
      <c r="B303" s="19">
        <f>VLOOKUP(B300,tablaequipo,5)</f>
        <v>0</v>
      </c>
      <c r="C303" s="116"/>
      <c r="D303" s="137" t="s">
        <v>87</v>
      </c>
      <c r="E303" s="59"/>
      <c r="F303" s="103" t="s">
        <v>88</v>
      </c>
      <c r="G303" s="193" t="s">
        <v>23</v>
      </c>
      <c r="H303" s="242"/>
      <c r="I303" s="242"/>
      <c r="J303" s="242"/>
      <c r="K303" s="242"/>
      <c r="L303" s="243"/>
    </row>
    <row r="304" spans="1:42" ht="28.5" customHeight="1" thickBot="1">
      <c r="B304" s="19" t="str">
        <f>VLOOKUP(B300,tablaequipo,6)</f>
        <v>Alquiler Camion</v>
      </c>
      <c r="C304" s="116"/>
      <c r="D304" s="138" t="str">
        <f>VLOOKUP(D303,tablatransporte,2)</f>
        <v>Transporte Montera</v>
      </c>
      <c r="E304" s="59"/>
      <c r="F304" s="108"/>
      <c r="G304" s="79" t="s">
        <v>21</v>
      </c>
      <c r="H304" s="247"/>
      <c r="I304" s="247"/>
      <c r="J304" s="247"/>
      <c r="K304" s="79" t="s">
        <v>22</v>
      </c>
      <c r="L304" s="80"/>
    </row>
    <row r="305" spans="2:12" ht="28.5" customHeight="1">
      <c r="B305" s="106"/>
      <c r="C305" s="117"/>
      <c r="D305" s="153" t="s">
        <v>89</v>
      </c>
      <c r="E305" s="59"/>
      <c r="F305" s="197"/>
      <c r="G305" s="140" t="s">
        <v>25</v>
      </c>
      <c r="H305" s="237" t="s">
        <v>26</v>
      </c>
      <c r="I305" s="238"/>
      <c r="J305" s="140" t="s">
        <v>27</v>
      </c>
      <c r="K305" s="237" t="s">
        <v>28</v>
      </c>
      <c r="L305" s="239"/>
    </row>
    <row r="306" spans="2:12" ht="23.25" customHeight="1">
      <c r="B306" s="106"/>
      <c r="C306" s="117"/>
      <c r="D306" s="138" t="str">
        <f>VLOOKUP(D305,tablatipo,2)</f>
        <v xml:space="preserve">Seleccione Tipo </v>
      </c>
      <c r="E306" s="59"/>
      <c r="F306" s="197"/>
      <c r="G306" s="248" t="s">
        <v>90</v>
      </c>
      <c r="H306" s="249"/>
      <c r="I306" s="249"/>
      <c r="J306" s="249"/>
      <c r="K306" s="249"/>
      <c r="L306" s="250"/>
    </row>
    <row r="307" spans="2:12" ht="13.5" customHeight="1" thickBot="1">
      <c r="B307" s="106"/>
      <c r="C307" s="117"/>
      <c r="D307" s="136"/>
      <c r="E307" s="59"/>
      <c r="F307" s="197"/>
      <c r="G307" s="248"/>
      <c r="H307" s="249"/>
      <c r="I307" s="249"/>
      <c r="J307" s="249"/>
      <c r="K307" s="249"/>
      <c r="L307" s="250"/>
    </row>
    <row r="308" spans="2:12" ht="26.45" thickBot="1">
      <c r="B308" s="107"/>
      <c r="C308" s="118"/>
      <c r="D308" s="139"/>
      <c r="E308" s="60"/>
      <c r="F308" s="198"/>
      <c r="G308" s="194">
        <v>0</v>
      </c>
      <c r="H308" s="240" t="str">
        <f>VLOOKUP(G308,tablaestado,3)</f>
        <v>Seleccione Estado</v>
      </c>
      <c r="I308" s="240"/>
      <c r="J308" s="240"/>
      <c r="K308" s="240"/>
      <c r="L308" s="241"/>
    </row>
    <row r="309" spans="2:12" ht="28.5" customHeight="1" thickBot="1">
      <c r="B309" s="75" t="s">
        <v>1</v>
      </c>
      <c r="C309" s="75"/>
      <c r="D309" s="75" t="s">
        <v>82</v>
      </c>
      <c r="E309" s="76" t="s">
        <v>83</v>
      </c>
      <c r="F309" s="77" t="s">
        <v>22</v>
      </c>
      <c r="G309" s="229" t="s">
        <v>11</v>
      </c>
      <c r="H309" s="229"/>
      <c r="I309" s="81" t="s">
        <v>12</v>
      </c>
      <c r="J309" s="149"/>
      <c r="K309" s="81" t="s">
        <v>13</v>
      </c>
      <c r="L309" s="150">
        <v>0</v>
      </c>
    </row>
    <row r="310" spans="2:12" ht="28.5" customHeight="1" thickBot="1">
      <c r="B310" s="105" t="s">
        <v>91</v>
      </c>
      <c r="C310" s="109"/>
      <c r="D310" s="110" t="s">
        <v>85</v>
      </c>
      <c r="E310" s="82">
        <f>VLOOKUP(D310,personal,5)</f>
        <v>0</v>
      </c>
      <c r="F310" s="111"/>
      <c r="G310" s="73" t="s">
        <v>17</v>
      </c>
      <c r="H310" s="246"/>
      <c r="I310" s="246"/>
      <c r="J310" s="246"/>
      <c r="K310" s="73" t="s">
        <v>86</v>
      </c>
      <c r="L310" s="83"/>
    </row>
    <row r="311" spans="2:12" ht="28.5" customHeight="1">
      <c r="B311" s="67">
        <f>VLOOKUP(B310,tablaequipo,3)</f>
        <v>0</v>
      </c>
      <c r="C311" s="115"/>
      <c r="D311" s="135"/>
      <c r="E311" s="59"/>
      <c r="F311" s="197"/>
      <c r="G311" s="193" t="s">
        <v>20</v>
      </c>
      <c r="H311" s="242"/>
      <c r="I311" s="242"/>
      <c r="J311" s="242"/>
      <c r="K311" s="242"/>
      <c r="L311" s="243"/>
    </row>
    <row r="312" spans="2:12" ht="28.5" customHeight="1" thickBot="1">
      <c r="B312" s="19" t="str">
        <f>VLOOKUP(B310,tablaequipo,4)</f>
        <v>Camion</v>
      </c>
      <c r="C312" s="116"/>
      <c r="D312" s="136"/>
      <c r="E312" s="59"/>
      <c r="F312" s="197"/>
      <c r="G312" s="74" t="s">
        <v>21</v>
      </c>
      <c r="H312" s="244"/>
      <c r="I312" s="244"/>
      <c r="J312" s="244"/>
      <c r="K312" s="74" t="s">
        <v>22</v>
      </c>
      <c r="L312" s="78"/>
    </row>
    <row r="313" spans="2:12" ht="28.5" customHeight="1">
      <c r="B313" s="19">
        <f>VLOOKUP(B310,tablaequipo,5)</f>
        <v>0</v>
      </c>
      <c r="C313" s="116"/>
      <c r="D313" s="137" t="s">
        <v>87</v>
      </c>
      <c r="E313" s="59"/>
      <c r="F313" s="103" t="s">
        <v>88</v>
      </c>
      <c r="G313" s="193" t="s">
        <v>23</v>
      </c>
      <c r="H313" s="242"/>
      <c r="I313" s="242"/>
      <c r="J313" s="242"/>
      <c r="K313" s="242"/>
      <c r="L313" s="243"/>
    </row>
    <row r="314" spans="2:12" ht="28.5" customHeight="1" thickBot="1">
      <c r="B314" s="19" t="str">
        <f>VLOOKUP(B310,tablaequipo,6)</f>
        <v>Alquiler Camion</v>
      </c>
      <c r="C314" s="116"/>
      <c r="D314" s="138" t="str">
        <f>VLOOKUP(D313,tablatransporte,2)</f>
        <v>Transporte Montera</v>
      </c>
      <c r="E314" s="59"/>
      <c r="F314" s="108"/>
      <c r="G314" s="79" t="s">
        <v>21</v>
      </c>
      <c r="H314" s="247"/>
      <c r="I314" s="247"/>
      <c r="J314" s="247"/>
      <c r="K314" s="79" t="s">
        <v>22</v>
      </c>
      <c r="L314" s="80"/>
    </row>
    <row r="315" spans="2:12" ht="28.5" customHeight="1">
      <c r="B315" s="106"/>
      <c r="C315" s="117"/>
      <c r="D315" s="153" t="s">
        <v>89</v>
      </c>
      <c r="E315" s="59"/>
      <c r="F315" s="197"/>
      <c r="G315" s="140" t="s">
        <v>25</v>
      </c>
      <c r="H315" s="237" t="s">
        <v>26</v>
      </c>
      <c r="I315" s="238"/>
      <c r="J315" s="140" t="s">
        <v>27</v>
      </c>
      <c r="K315" s="237" t="s">
        <v>28</v>
      </c>
      <c r="L315" s="239"/>
    </row>
    <row r="316" spans="2:12" ht="23.25" customHeight="1">
      <c r="B316" s="106"/>
      <c r="C316" s="117"/>
      <c r="D316" s="138" t="str">
        <f>VLOOKUP(D315,tablatipo,2)</f>
        <v xml:space="preserve">Seleccione Tipo </v>
      </c>
      <c r="E316" s="59"/>
      <c r="F316" s="197"/>
      <c r="G316" s="248" t="s">
        <v>90</v>
      </c>
      <c r="H316" s="249"/>
      <c r="I316" s="249"/>
      <c r="J316" s="249"/>
      <c r="K316" s="249"/>
      <c r="L316" s="250"/>
    </row>
    <row r="317" spans="2:12" ht="14.45" customHeight="1" thickBot="1">
      <c r="B317" s="106"/>
      <c r="C317" s="117"/>
      <c r="D317" s="136"/>
      <c r="E317" s="59"/>
      <c r="F317" s="197"/>
      <c r="G317" s="248"/>
      <c r="H317" s="249"/>
      <c r="I317" s="249"/>
      <c r="J317" s="249"/>
      <c r="K317" s="249"/>
      <c r="L317" s="250"/>
    </row>
    <row r="318" spans="2:12" ht="26.45" thickBot="1">
      <c r="B318" s="107"/>
      <c r="C318" s="118"/>
      <c r="D318" s="139"/>
      <c r="E318" s="60"/>
      <c r="F318" s="198"/>
      <c r="G318" s="194">
        <v>0</v>
      </c>
      <c r="H318" s="240" t="str">
        <f>VLOOKUP(G318,tablaestado,3)</f>
        <v>Seleccione Estado</v>
      </c>
      <c r="I318" s="240"/>
      <c r="J318" s="240"/>
      <c r="K318" s="240"/>
      <c r="L318" s="241"/>
    </row>
    <row r="319" spans="2:12" ht="28.5" customHeight="1" thickBot="1">
      <c r="B319" s="75" t="s">
        <v>1</v>
      </c>
      <c r="C319" s="75"/>
      <c r="D319" s="75" t="s">
        <v>82</v>
      </c>
      <c r="E319" s="76" t="s">
        <v>83</v>
      </c>
      <c r="F319" s="77" t="s">
        <v>22</v>
      </c>
      <c r="G319" s="229" t="s">
        <v>11</v>
      </c>
      <c r="H319" s="229"/>
      <c r="I319" s="81" t="s">
        <v>12</v>
      </c>
      <c r="J319" s="149"/>
      <c r="K319" s="81" t="s">
        <v>13</v>
      </c>
      <c r="L319" s="150">
        <v>0</v>
      </c>
    </row>
    <row r="320" spans="2:12" ht="28.5" customHeight="1" thickBot="1">
      <c r="B320" s="105" t="s">
        <v>92</v>
      </c>
      <c r="C320" s="109"/>
      <c r="D320" s="110" t="s">
        <v>85</v>
      </c>
      <c r="E320" s="82">
        <f>VLOOKUP(D320,personal,5)</f>
        <v>0</v>
      </c>
      <c r="F320" s="111"/>
      <c r="G320" s="73" t="s">
        <v>17</v>
      </c>
      <c r="H320" s="246"/>
      <c r="I320" s="246"/>
      <c r="J320" s="246"/>
      <c r="K320" s="73" t="s">
        <v>86</v>
      </c>
      <c r="L320" s="83"/>
    </row>
    <row r="321" spans="2:12" ht="28.5" customHeight="1">
      <c r="B321" s="67">
        <f>VLOOKUP(B320,tablaequipo,3)</f>
        <v>0</v>
      </c>
      <c r="C321" s="115"/>
      <c r="D321" s="135"/>
      <c r="E321" s="59"/>
      <c r="F321" s="197"/>
      <c r="G321" s="193" t="s">
        <v>20</v>
      </c>
      <c r="H321" s="242"/>
      <c r="I321" s="242"/>
      <c r="J321" s="242"/>
      <c r="K321" s="242"/>
      <c r="L321" s="243"/>
    </row>
    <row r="322" spans="2:12" ht="28.5" customHeight="1" thickBot="1">
      <c r="B322" s="19" t="str">
        <f>VLOOKUP(B320,tablaequipo,4)</f>
        <v>Camion</v>
      </c>
      <c r="C322" s="116"/>
      <c r="D322" s="136"/>
      <c r="E322" s="59"/>
      <c r="F322" s="197"/>
      <c r="G322" s="74" t="s">
        <v>21</v>
      </c>
      <c r="H322" s="244"/>
      <c r="I322" s="244"/>
      <c r="J322" s="244"/>
      <c r="K322" s="74" t="s">
        <v>22</v>
      </c>
      <c r="L322" s="78"/>
    </row>
    <row r="323" spans="2:12" ht="28.5" customHeight="1">
      <c r="B323" s="19">
        <f>VLOOKUP(B320,tablaequipo,5)</f>
        <v>0</v>
      </c>
      <c r="C323" s="116"/>
      <c r="D323" s="137" t="s">
        <v>87</v>
      </c>
      <c r="E323" s="59"/>
      <c r="F323" s="103" t="s">
        <v>88</v>
      </c>
      <c r="G323" s="193" t="s">
        <v>23</v>
      </c>
      <c r="H323" s="242"/>
      <c r="I323" s="242"/>
      <c r="J323" s="242"/>
      <c r="K323" s="242"/>
      <c r="L323" s="243"/>
    </row>
    <row r="324" spans="2:12" ht="28.5" customHeight="1" thickBot="1">
      <c r="B324" s="19" t="str">
        <f>VLOOKUP(B320,tablaequipo,6)</f>
        <v>Alquiler Camion</v>
      </c>
      <c r="C324" s="116"/>
      <c r="D324" s="138" t="str">
        <f>VLOOKUP(D323,tablatransporte,2)</f>
        <v>Transporte Montera</v>
      </c>
      <c r="E324" s="59"/>
      <c r="F324" s="108"/>
      <c r="G324" s="79" t="s">
        <v>21</v>
      </c>
      <c r="H324" s="247"/>
      <c r="I324" s="247"/>
      <c r="J324" s="247"/>
      <c r="K324" s="79" t="s">
        <v>22</v>
      </c>
      <c r="L324" s="80"/>
    </row>
    <row r="325" spans="2:12" ht="28.5" customHeight="1">
      <c r="B325" s="106"/>
      <c r="C325" s="117"/>
      <c r="D325" s="153" t="s">
        <v>89</v>
      </c>
      <c r="E325" s="59"/>
      <c r="F325" s="197"/>
      <c r="G325" s="140" t="s">
        <v>25</v>
      </c>
      <c r="H325" s="237" t="s">
        <v>26</v>
      </c>
      <c r="I325" s="238"/>
      <c r="J325" s="140" t="s">
        <v>27</v>
      </c>
      <c r="K325" s="237" t="s">
        <v>28</v>
      </c>
      <c r="L325" s="239"/>
    </row>
    <row r="326" spans="2:12" ht="23.25" customHeight="1">
      <c r="B326" s="106"/>
      <c r="C326" s="117"/>
      <c r="D326" s="138" t="str">
        <f>VLOOKUP(D325,tablatipo,2)</f>
        <v xml:space="preserve">Seleccione Tipo </v>
      </c>
      <c r="E326" s="59"/>
      <c r="F326" s="197"/>
      <c r="G326" s="248" t="s">
        <v>90</v>
      </c>
      <c r="H326" s="249"/>
      <c r="I326" s="249"/>
      <c r="J326" s="249"/>
      <c r="K326" s="249"/>
      <c r="L326" s="250"/>
    </row>
    <row r="327" spans="2:12" ht="14.45" customHeight="1" thickBot="1">
      <c r="B327" s="106"/>
      <c r="C327" s="117"/>
      <c r="D327" s="136"/>
      <c r="E327" s="59"/>
      <c r="F327" s="197"/>
      <c r="G327" s="248"/>
      <c r="H327" s="249"/>
      <c r="I327" s="249"/>
      <c r="J327" s="249"/>
      <c r="K327" s="249"/>
      <c r="L327" s="250"/>
    </row>
    <row r="328" spans="2:12" ht="26.45" thickBot="1">
      <c r="B328" s="107"/>
      <c r="C328" s="118"/>
      <c r="D328" s="139"/>
      <c r="E328" s="60"/>
      <c r="F328" s="198"/>
      <c r="G328" s="194">
        <v>0</v>
      </c>
      <c r="H328" s="240" t="str">
        <f>VLOOKUP(G328,tablaestado,3)</f>
        <v>Seleccione Estado</v>
      </c>
      <c r="I328" s="240"/>
      <c r="J328" s="240"/>
      <c r="K328" s="240"/>
      <c r="L328" s="241"/>
    </row>
    <row r="329" spans="2:12" ht="28.5" customHeight="1" thickBot="1">
      <c r="B329" s="75" t="s">
        <v>1</v>
      </c>
      <c r="C329" s="75"/>
      <c r="D329" s="75" t="s">
        <v>82</v>
      </c>
      <c r="E329" s="76" t="s">
        <v>83</v>
      </c>
      <c r="F329" s="77" t="s">
        <v>22</v>
      </c>
      <c r="G329" s="229" t="s">
        <v>11</v>
      </c>
      <c r="H329" s="229"/>
      <c r="I329" s="81" t="s">
        <v>12</v>
      </c>
      <c r="J329" s="149"/>
      <c r="K329" s="81" t="s">
        <v>13</v>
      </c>
      <c r="L329" s="150">
        <v>0</v>
      </c>
    </row>
    <row r="330" spans="2:12" ht="28.5" customHeight="1" thickBot="1">
      <c r="B330" s="105" t="s">
        <v>93</v>
      </c>
      <c r="C330" s="109"/>
      <c r="D330" s="110" t="s">
        <v>85</v>
      </c>
      <c r="E330" s="82">
        <f>VLOOKUP(D330,personal,5)</f>
        <v>0</v>
      </c>
      <c r="F330" s="111"/>
      <c r="G330" s="73" t="s">
        <v>17</v>
      </c>
      <c r="H330" s="246"/>
      <c r="I330" s="246"/>
      <c r="J330" s="246"/>
      <c r="K330" s="73" t="s">
        <v>86</v>
      </c>
      <c r="L330" s="83"/>
    </row>
    <row r="331" spans="2:12" ht="28.5" customHeight="1">
      <c r="B331" s="67">
        <f>VLOOKUP(B330,tablaequipo,3)</f>
        <v>0</v>
      </c>
      <c r="C331" s="115"/>
      <c r="D331" s="135"/>
      <c r="E331" s="59"/>
      <c r="F331" s="197"/>
      <c r="G331" s="193" t="s">
        <v>20</v>
      </c>
      <c r="H331" s="242"/>
      <c r="I331" s="242"/>
      <c r="J331" s="242"/>
      <c r="K331" s="242"/>
      <c r="L331" s="243"/>
    </row>
    <row r="332" spans="2:12" ht="28.5" customHeight="1" thickBot="1">
      <c r="B332" s="19" t="str">
        <f>VLOOKUP(B330,tablaequipo,4)</f>
        <v>Camion</v>
      </c>
      <c r="C332" s="116"/>
      <c r="D332" s="136"/>
      <c r="E332" s="59"/>
      <c r="F332" s="197"/>
      <c r="G332" s="74" t="s">
        <v>21</v>
      </c>
      <c r="H332" s="244"/>
      <c r="I332" s="244"/>
      <c r="J332" s="244"/>
      <c r="K332" s="74" t="s">
        <v>22</v>
      </c>
      <c r="L332" s="78"/>
    </row>
    <row r="333" spans="2:12" ht="28.5" customHeight="1">
      <c r="B333" s="19">
        <f>VLOOKUP(B330,tablaequipo,5)</f>
        <v>0</v>
      </c>
      <c r="C333" s="116"/>
      <c r="D333" s="137" t="s">
        <v>87</v>
      </c>
      <c r="E333" s="59"/>
      <c r="F333" s="103" t="s">
        <v>88</v>
      </c>
      <c r="G333" s="193" t="s">
        <v>23</v>
      </c>
      <c r="H333" s="242"/>
      <c r="I333" s="242"/>
      <c r="J333" s="242"/>
      <c r="K333" s="242"/>
      <c r="L333" s="243"/>
    </row>
    <row r="334" spans="2:12" ht="28.5" customHeight="1" thickBot="1">
      <c r="B334" s="19" t="str">
        <f>VLOOKUP(B330,tablaequipo,6)</f>
        <v>Alquiler Camion</v>
      </c>
      <c r="C334" s="116"/>
      <c r="D334" s="138" t="str">
        <f>VLOOKUP(D333,tablatransporte,2)</f>
        <v>Transporte Montera</v>
      </c>
      <c r="E334" s="59"/>
      <c r="F334" s="108"/>
      <c r="G334" s="79" t="s">
        <v>21</v>
      </c>
      <c r="H334" s="247"/>
      <c r="I334" s="247"/>
      <c r="J334" s="247"/>
      <c r="K334" s="79" t="s">
        <v>22</v>
      </c>
      <c r="L334" s="80"/>
    </row>
    <row r="335" spans="2:12" ht="28.5" customHeight="1">
      <c r="B335" s="106"/>
      <c r="C335" s="117"/>
      <c r="D335" s="153" t="s">
        <v>89</v>
      </c>
      <c r="E335" s="59"/>
      <c r="F335" s="197"/>
      <c r="G335" s="140" t="s">
        <v>25</v>
      </c>
      <c r="H335" s="237" t="s">
        <v>26</v>
      </c>
      <c r="I335" s="238"/>
      <c r="J335" s="140" t="s">
        <v>27</v>
      </c>
      <c r="K335" s="237" t="s">
        <v>28</v>
      </c>
      <c r="L335" s="239"/>
    </row>
    <row r="336" spans="2:12" ht="23.25" customHeight="1">
      <c r="B336" s="106"/>
      <c r="C336" s="117"/>
      <c r="D336" s="138" t="str">
        <f>VLOOKUP(D335,tablatipo,2)</f>
        <v xml:space="preserve">Seleccione Tipo </v>
      </c>
      <c r="E336" s="59"/>
      <c r="F336" s="197"/>
      <c r="G336" s="248" t="s">
        <v>90</v>
      </c>
      <c r="H336" s="249"/>
      <c r="I336" s="249"/>
      <c r="J336" s="249"/>
      <c r="K336" s="249"/>
      <c r="L336" s="250"/>
    </row>
    <row r="337" spans="2:12" ht="14.45" customHeight="1" thickBot="1">
      <c r="B337" s="106"/>
      <c r="C337" s="117"/>
      <c r="D337" s="136"/>
      <c r="E337" s="59"/>
      <c r="F337" s="197"/>
      <c r="G337" s="248"/>
      <c r="H337" s="249"/>
      <c r="I337" s="249"/>
      <c r="J337" s="249"/>
      <c r="K337" s="249"/>
      <c r="L337" s="250"/>
    </row>
    <row r="338" spans="2:12" ht="26.45" thickBot="1">
      <c r="B338" s="107"/>
      <c r="C338" s="118"/>
      <c r="D338" s="139"/>
      <c r="E338" s="60"/>
      <c r="F338" s="198"/>
      <c r="G338" s="194">
        <v>0</v>
      </c>
      <c r="H338" s="240" t="str">
        <f>VLOOKUP(G338,tablaestado,3)</f>
        <v>Seleccione Estado</v>
      </c>
      <c r="I338" s="240"/>
      <c r="J338" s="240"/>
      <c r="K338" s="240"/>
      <c r="L338" s="241"/>
    </row>
    <row r="339" spans="2:12" ht="28.5" customHeight="1" thickBot="1">
      <c r="B339" s="75" t="s">
        <v>1</v>
      </c>
      <c r="C339" s="75"/>
      <c r="D339" s="75" t="s">
        <v>82</v>
      </c>
      <c r="E339" s="76" t="s">
        <v>83</v>
      </c>
      <c r="F339" s="77" t="s">
        <v>22</v>
      </c>
      <c r="G339" s="229" t="s">
        <v>11</v>
      </c>
      <c r="H339" s="229"/>
      <c r="I339" s="81" t="s">
        <v>12</v>
      </c>
      <c r="J339" s="149"/>
      <c r="K339" s="81" t="s">
        <v>13</v>
      </c>
      <c r="L339" s="150">
        <v>0</v>
      </c>
    </row>
    <row r="340" spans="2:12" ht="28.5" customHeight="1" thickBot="1">
      <c r="B340" s="105" t="s">
        <v>94</v>
      </c>
      <c r="C340" s="109"/>
      <c r="D340" s="110" t="s">
        <v>85</v>
      </c>
      <c r="E340" s="82">
        <f>VLOOKUP(D340,personal,5)</f>
        <v>0</v>
      </c>
      <c r="F340" s="111"/>
      <c r="G340" s="73" t="s">
        <v>17</v>
      </c>
      <c r="H340" s="246"/>
      <c r="I340" s="246"/>
      <c r="J340" s="246"/>
      <c r="K340" s="73" t="s">
        <v>86</v>
      </c>
      <c r="L340" s="83"/>
    </row>
    <row r="341" spans="2:12" ht="28.5" customHeight="1">
      <c r="B341" s="67">
        <f>VLOOKUP(B340,tablaequipo,3)</f>
        <v>0</v>
      </c>
      <c r="C341" s="115"/>
      <c r="D341" s="135"/>
      <c r="E341" s="59"/>
      <c r="F341" s="197"/>
      <c r="G341" s="193" t="s">
        <v>20</v>
      </c>
      <c r="H341" s="242"/>
      <c r="I341" s="242"/>
      <c r="J341" s="242"/>
      <c r="K341" s="242"/>
      <c r="L341" s="243"/>
    </row>
    <row r="342" spans="2:12" ht="28.5" customHeight="1" thickBot="1">
      <c r="B342" s="19" t="str">
        <f>VLOOKUP(B340,tablaequipo,4)</f>
        <v>Camion</v>
      </c>
      <c r="C342" s="116"/>
      <c r="D342" s="136"/>
      <c r="E342" s="59"/>
      <c r="F342" s="197"/>
      <c r="G342" s="74" t="s">
        <v>21</v>
      </c>
      <c r="H342" s="244"/>
      <c r="I342" s="244"/>
      <c r="J342" s="244"/>
      <c r="K342" s="74" t="s">
        <v>22</v>
      </c>
      <c r="L342" s="78"/>
    </row>
    <row r="343" spans="2:12" ht="28.5" customHeight="1">
      <c r="B343" s="19">
        <f>VLOOKUP(B340,tablaequipo,5)</f>
        <v>0</v>
      </c>
      <c r="C343" s="116"/>
      <c r="D343" s="137" t="s">
        <v>95</v>
      </c>
      <c r="E343" s="59"/>
      <c r="F343" s="103" t="s">
        <v>88</v>
      </c>
      <c r="G343" s="193" t="s">
        <v>23</v>
      </c>
      <c r="H343" s="242"/>
      <c r="I343" s="242"/>
      <c r="J343" s="242"/>
      <c r="K343" s="242"/>
      <c r="L343" s="243"/>
    </row>
    <row r="344" spans="2:12" ht="28.5" customHeight="1" thickBot="1">
      <c r="B344" s="19" t="str">
        <f>VLOOKUP(B340,tablaequipo,6)</f>
        <v>Alquiler Camion</v>
      </c>
      <c r="C344" s="116"/>
      <c r="D344" s="138" t="str">
        <f>VLOOKUP(D343,tablatransporte,2)</f>
        <v>Transporte Rivas</v>
      </c>
      <c r="E344" s="59"/>
      <c r="F344" s="108"/>
      <c r="G344" s="79" t="s">
        <v>21</v>
      </c>
      <c r="H344" s="247"/>
      <c r="I344" s="247"/>
      <c r="J344" s="247"/>
      <c r="K344" s="79" t="s">
        <v>22</v>
      </c>
      <c r="L344" s="80"/>
    </row>
    <row r="345" spans="2:12" ht="28.5" customHeight="1">
      <c r="B345" s="106"/>
      <c r="C345" s="117"/>
      <c r="D345" s="153" t="s">
        <v>89</v>
      </c>
      <c r="E345" s="59"/>
      <c r="F345" s="197"/>
      <c r="G345" s="140" t="s">
        <v>25</v>
      </c>
      <c r="H345" s="237" t="s">
        <v>26</v>
      </c>
      <c r="I345" s="238"/>
      <c r="J345" s="140" t="s">
        <v>27</v>
      </c>
      <c r="K345" s="237" t="s">
        <v>28</v>
      </c>
      <c r="L345" s="239"/>
    </row>
    <row r="346" spans="2:12" ht="23.25" customHeight="1">
      <c r="B346" s="106"/>
      <c r="C346" s="117"/>
      <c r="D346" s="138" t="str">
        <f>VLOOKUP(D345,tablatipo,2)</f>
        <v xml:space="preserve">Seleccione Tipo </v>
      </c>
      <c r="E346" s="59"/>
      <c r="F346" s="197"/>
      <c r="G346" s="248" t="s">
        <v>90</v>
      </c>
      <c r="H346" s="249"/>
      <c r="I346" s="249"/>
      <c r="J346" s="249"/>
      <c r="K346" s="249"/>
      <c r="L346" s="250"/>
    </row>
    <row r="347" spans="2:12" ht="14.45" customHeight="1" thickBot="1">
      <c r="B347" s="106"/>
      <c r="C347" s="117"/>
      <c r="D347" s="136"/>
      <c r="E347" s="59"/>
      <c r="F347" s="197"/>
      <c r="G347" s="248"/>
      <c r="H347" s="249"/>
      <c r="I347" s="249"/>
      <c r="J347" s="249"/>
      <c r="K347" s="249"/>
      <c r="L347" s="250"/>
    </row>
    <row r="348" spans="2:12" ht="26.45" thickBot="1">
      <c r="B348" s="107"/>
      <c r="C348" s="118"/>
      <c r="D348" s="139"/>
      <c r="E348" s="60"/>
      <c r="F348" s="198"/>
      <c r="G348" s="194">
        <v>0</v>
      </c>
      <c r="H348" s="240" t="str">
        <f>VLOOKUP(G348,tablaestado,3)</f>
        <v>Seleccione Estado</v>
      </c>
      <c r="I348" s="240"/>
      <c r="J348" s="240"/>
      <c r="K348" s="240"/>
      <c r="L348" s="241"/>
    </row>
    <row r="349" spans="2:12" ht="28.5" customHeight="1" thickBot="1">
      <c r="B349" s="75" t="s">
        <v>1</v>
      </c>
      <c r="C349" s="75"/>
      <c r="D349" s="75" t="s">
        <v>82</v>
      </c>
      <c r="E349" s="76" t="s">
        <v>83</v>
      </c>
      <c r="F349" s="77" t="s">
        <v>22</v>
      </c>
      <c r="G349" s="229" t="s">
        <v>11</v>
      </c>
      <c r="H349" s="229"/>
      <c r="I349" s="81" t="s">
        <v>12</v>
      </c>
      <c r="J349" s="149"/>
      <c r="K349" s="81" t="s">
        <v>13</v>
      </c>
      <c r="L349" s="150">
        <v>0</v>
      </c>
    </row>
    <row r="350" spans="2:12" ht="28.5" customHeight="1" thickBot="1">
      <c r="B350" s="105" t="s">
        <v>96</v>
      </c>
      <c r="C350" s="109"/>
      <c r="D350" s="110" t="s">
        <v>85</v>
      </c>
      <c r="E350" s="82">
        <f>VLOOKUP(D350,personal,5)</f>
        <v>0</v>
      </c>
      <c r="F350" s="111"/>
      <c r="G350" s="73" t="s">
        <v>17</v>
      </c>
      <c r="H350" s="246"/>
      <c r="I350" s="246"/>
      <c r="J350" s="246"/>
      <c r="K350" s="73" t="s">
        <v>18</v>
      </c>
      <c r="L350" s="83"/>
    </row>
    <row r="351" spans="2:12" ht="28.5" customHeight="1">
      <c r="B351" s="67">
        <f>VLOOKUP(B350,tablaequipo,3)</f>
        <v>0</v>
      </c>
      <c r="C351" s="115"/>
      <c r="D351" s="135"/>
      <c r="E351" s="59"/>
      <c r="F351" s="197"/>
      <c r="G351" s="193" t="s">
        <v>20</v>
      </c>
      <c r="H351" s="242"/>
      <c r="I351" s="242"/>
      <c r="J351" s="242"/>
      <c r="K351" s="242"/>
      <c r="L351" s="243"/>
    </row>
    <row r="352" spans="2:12" ht="28.5" customHeight="1" thickBot="1">
      <c r="B352" s="19" t="str">
        <f>VLOOKUP(B350,tablaequipo,4)</f>
        <v>Camion</v>
      </c>
      <c r="C352" s="116"/>
      <c r="D352" s="136"/>
      <c r="E352" s="59"/>
      <c r="F352" s="197"/>
      <c r="G352" s="74" t="s">
        <v>21</v>
      </c>
      <c r="H352" s="244"/>
      <c r="I352" s="244"/>
      <c r="J352" s="244"/>
      <c r="K352" s="74" t="s">
        <v>22</v>
      </c>
      <c r="L352" s="78"/>
    </row>
    <row r="353" spans="2:12" ht="28.5" customHeight="1">
      <c r="B353" s="19">
        <f>VLOOKUP(B350,tablaequipo,5)</f>
        <v>0</v>
      </c>
      <c r="C353" s="116"/>
      <c r="D353" s="137" t="s">
        <v>95</v>
      </c>
      <c r="E353" s="59"/>
      <c r="F353" s="103" t="s">
        <v>88</v>
      </c>
      <c r="G353" s="193" t="s">
        <v>23</v>
      </c>
      <c r="H353" s="242"/>
      <c r="I353" s="242"/>
      <c r="J353" s="242"/>
      <c r="K353" s="242"/>
      <c r="L353" s="243"/>
    </row>
    <row r="354" spans="2:12" ht="28.5" customHeight="1" thickBot="1">
      <c r="B354" s="19" t="str">
        <f>VLOOKUP(B350,tablaequipo,6)</f>
        <v>Alquiler Camion</v>
      </c>
      <c r="C354" s="116"/>
      <c r="D354" s="138" t="str">
        <f>VLOOKUP(D353,tablatransporte,2)</f>
        <v>Transporte Rivas</v>
      </c>
      <c r="E354" s="59"/>
      <c r="F354" s="108"/>
      <c r="G354" s="79" t="s">
        <v>21</v>
      </c>
      <c r="H354" s="247"/>
      <c r="I354" s="247"/>
      <c r="J354" s="247"/>
      <c r="K354" s="79" t="s">
        <v>22</v>
      </c>
      <c r="L354" s="80"/>
    </row>
    <row r="355" spans="2:12" ht="28.5" customHeight="1">
      <c r="B355" s="106"/>
      <c r="C355" s="117"/>
      <c r="D355" s="153" t="s">
        <v>89</v>
      </c>
      <c r="E355" s="59"/>
      <c r="F355" s="197"/>
      <c r="G355" s="140" t="s">
        <v>25</v>
      </c>
      <c r="H355" s="237" t="s">
        <v>26</v>
      </c>
      <c r="I355" s="238"/>
      <c r="J355" s="140" t="s">
        <v>27</v>
      </c>
      <c r="K355" s="237" t="s">
        <v>28</v>
      </c>
      <c r="L355" s="239"/>
    </row>
    <row r="356" spans="2:12" ht="23.25" customHeight="1">
      <c r="B356" s="106"/>
      <c r="C356" s="117"/>
      <c r="D356" s="138" t="str">
        <f>VLOOKUP(D355,tablatipo,2)</f>
        <v xml:space="preserve">Seleccione Tipo </v>
      </c>
      <c r="E356" s="59"/>
      <c r="F356" s="197"/>
      <c r="G356" s="248" t="s">
        <v>90</v>
      </c>
      <c r="H356" s="249"/>
      <c r="I356" s="249"/>
      <c r="J356" s="249"/>
      <c r="K356" s="249"/>
      <c r="L356" s="250"/>
    </row>
    <row r="357" spans="2:12" ht="14.45" customHeight="1" thickBot="1">
      <c r="B357" s="106"/>
      <c r="C357" s="117"/>
      <c r="D357" s="136"/>
      <c r="E357" s="59"/>
      <c r="F357" s="197"/>
      <c r="G357" s="248"/>
      <c r="H357" s="249"/>
      <c r="I357" s="249"/>
      <c r="J357" s="249"/>
      <c r="K357" s="249"/>
      <c r="L357" s="250"/>
    </row>
    <row r="358" spans="2:12" ht="26.45" thickBot="1">
      <c r="B358" s="107"/>
      <c r="C358" s="118"/>
      <c r="D358" s="139"/>
      <c r="E358" s="60"/>
      <c r="F358" s="198"/>
      <c r="G358" s="194">
        <v>0</v>
      </c>
      <c r="H358" s="240" t="str">
        <f>VLOOKUP(G358,tablaestado,3)</f>
        <v>Seleccione Estado</v>
      </c>
      <c r="I358" s="240"/>
      <c r="J358" s="240"/>
      <c r="K358" s="240"/>
      <c r="L358" s="241"/>
    </row>
    <row r="359" spans="2:12" ht="28.5" customHeight="1" thickBot="1">
      <c r="B359" s="75" t="s">
        <v>1</v>
      </c>
      <c r="C359" s="75"/>
      <c r="D359" s="75" t="s">
        <v>82</v>
      </c>
      <c r="E359" s="76" t="s">
        <v>83</v>
      </c>
      <c r="F359" s="77" t="s">
        <v>22</v>
      </c>
      <c r="G359" s="229" t="s">
        <v>11</v>
      </c>
      <c r="H359" s="229"/>
      <c r="I359" s="81" t="s">
        <v>12</v>
      </c>
      <c r="J359" s="149"/>
      <c r="K359" s="81" t="s">
        <v>13</v>
      </c>
      <c r="L359" s="150">
        <v>0</v>
      </c>
    </row>
    <row r="360" spans="2:12" ht="28.5" customHeight="1" thickBot="1">
      <c r="B360" s="105" t="s">
        <v>97</v>
      </c>
      <c r="C360" s="109"/>
      <c r="D360" s="110" t="s">
        <v>85</v>
      </c>
      <c r="E360" s="82">
        <f>VLOOKUP(D360,personal,5)</f>
        <v>0</v>
      </c>
      <c r="F360" s="111"/>
      <c r="G360" s="73" t="s">
        <v>17</v>
      </c>
      <c r="H360" s="246"/>
      <c r="I360" s="246"/>
      <c r="J360" s="246"/>
      <c r="K360" s="73" t="s">
        <v>18</v>
      </c>
      <c r="L360" s="83"/>
    </row>
    <row r="361" spans="2:12" ht="28.5" customHeight="1">
      <c r="B361" s="67">
        <f>VLOOKUP(B360,tablaequipo,3)</f>
        <v>0</v>
      </c>
      <c r="C361" s="115"/>
      <c r="D361" s="135"/>
      <c r="E361" s="59"/>
      <c r="F361" s="197"/>
      <c r="G361" s="193" t="s">
        <v>20</v>
      </c>
      <c r="H361" s="242"/>
      <c r="I361" s="242"/>
      <c r="J361" s="242"/>
      <c r="K361" s="242"/>
      <c r="L361" s="243"/>
    </row>
    <row r="362" spans="2:12" ht="28.5" customHeight="1" thickBot="1">
      <c r="B362" s="19" t="str">
        <f>VLOOKUP(B360,tablaequipo,4)</f>
        <v>Camion</v>
      </c>
      <c r="C362" s="116"/>
      <c r="D362" s="136"/>
      <c r="E362" s="59"/>
      <c r="F362" s="197"/>
      <c r="G362" s="74" t="s">
        <v>21</v>
      </c>
      <c r="H362" s="244"/>
      <c r="I362" s="244"/>
      <c r="J362" s="244"/>
      <c r="K362" s="74" t="s">
        <v>22</v>
      </c>
      <c r="L362" s="78"/>
    </row>
    <row r="363" spans="2:12" ht="28.5" customHeight="1">
      <c r="B363" s="19">
        <f>VLOOKUP(B360,tablaequipo,5)</f>
        <v>0</v>
      </c>
      <c r="C363" s="116"/>
      <c r="D363" s="137" t="s">
        <v>95</v>
      </c>
      <c r="E363" s="59"/>
      <c r="F363" s="103" t="s">
        <v>88</v>
      </c>
      <c r="G363" s="193" t="s">
        <v>23</v>
      </c>
      <c r="H363" s="242"/>
      <c r="I363" s="242"/>
      <c r="J363" s="242"/>
      <c r="K363" s="242"/>
      <c r="L363" s="243"/>
    </row>
    <row r="364" spans="2:12" ht="28.5" customHeight="1" thickBot="1">
      <c r="B364" s="19" t="str">
        <f>VLOOKUP(B360,tablaequipo,6)</f>
        <v>Alquiler Camion</v>
      </c>
      <c r="C364" s="116"/>
      <c r="D364" s="138" t="str">
        <f>VLOOKUP(D363,tablatransporte,2)</f>
        <v>Transporte Rivas</v>
      </c>
      <c r="E364" s="59"/>
      <c r="F364" s="108"/>
      <c r="G364" s="79" t="s">
        <v>21</v>
      </c>
      <c r="H364" s="247"/>
      <c r="I364" s="247"/>
      <c r="J364" s="247"/>
      <c r="K364" s="79" t="s">
        <v>22</v>
      </c>
      <c r="L364" s="80"/>
    </row>
    <row r="365" spans="2:12" ht="28.5" customHeight="1">
      <c r="B365" s="106"/>
      <c r="C365" s="117"/>
      <c r="D365" s="153" t="s">
        <v>89</v>
      </c>
      <c r="E365" s="59"/>
      <c r="F365" s="197"/>
      <c r="G365" s="140" t="s">
        <v>25</v>
      </c>
      <c r="H365" s="237" t="s">
        <v>26</v>
      </c>
      <c r="I365" s="238"/>
      <c r="J365" s="140" t="s">
        <v>27</v>
      </c>
      <c r="K365" s="237" t="s">
        <v>28</v>
      </c>
      <c r="L365" s="239"/>
    </row>
    <row r="366" spans="2:12" ht="23.25" customHeight="1">
      <c r="B366" s="106"/>
      <c r="C366" s="117"/>
      <c r="D366" s="138" t="str">
        <f>VLOOKUP(D365,tablatipo,2)</f>
        <v xml:space="preserve">Seleccione Tipo </v>
      </c>
      <c r="E366" s="59"/>
      <c r="F366" s="197"/>
      <c r="G366" s="248" t="s">
        <v>90</v>
      </c>
      <c r="H366" s="249"/>
      <c r="I366" s="249"/>
      <c r="J366" s="249"/>
      <c r="K366" s="249"/>
      <c r="L366" s="250"/>
    </row>
    <row r="367" spans="2:12" ht="14.45" customHeight="1" thickBot="1">
      <c r="B367" s="106"/>
      <c r="C367" s="117"/>
      <c r="D367" s="136"/>
      <c r="E367" s="59"/>
      <c r="F367" s="197"/>
      <c r="G367" s="248"/>
      <c r="H367" s="249"/>
      <c r="I367" s="249"/>
      <c r="J367" s="249"/>
      <c r="K367" s="249"/>
      <c r="L367" s="250"/>
    </row>
    <row r="368" spans="2:12" ht="26.45" thickBot="1">
      <c r="B368" s="107"/>
      <c r="C368" s="118"/>
      <c r="D368" s="139"/>
      <c r="E368" s="60"/>
      <c r="F368" s="198"/>
      <c r="G368" s="194">
        <v>0</v>
      </c>
      <c r="H368" s="240" t="str">
        <f>VLOOKUP(G368,tablaestado,3)</f>
        <v>Seleccione Estado</v>
      </c>
      <c r="I368" s="240"/>
      <c r="J368" s="240"/>
      <c r="K368" s="240"/>
      <c r="L368" s="241"/>
    </row>
    <row r="369" spans="2:12" ht="28.5" customHeight="1" thickBot="1">
      <c r="B369" s="75" t="s">
        <v>1</v>
      </c>
      <c r="C369" s="75"/>
      <c r="D369" s="75" t="s">
        <v>82</v>
      </c>
      <c r="E369" s="76" t="s">
        <v>83</v>
      </c>
      <c r="F369" s="77" t="s">
        <v>22</v>
      </c>
      <c r="G369" s="229" t="s">
        <v>11</v>
      </c>
      <c r="H369" s="229"/>
      <c r="I369" s="81" t="s">
        <v>12</v>
      </c>
      <c r="J369" s="149"/>
      <c r="K369" s="81" t="s">
        <v>13</v>
      </c>
      <c r="L369" s="150">
        <v>0</v>
      </c>
    </row>
    <row r="370" spans="2:12" ht="28.5" customHeight="1" thickBot="1">
      <c r="B370" s="105" t="s">
        <v>98</v>
      </c>
      <c r="C370" s="109"/>
      <c r="D370" s="110" t="s">
        <v>85</v>
      </c>
      <c r="E370" s="82">
        <f>VLOOKUP(D370,personal,5)</f>
        <v>0</v>
      </c>
      <c r="F370" s="111"/>
      <c r="G370" s="73" t="s">
        <v>17</v>
      </c>
      <c r="H370" s="246"/>
      <c r="I370" s="246"/>
      <c r="J370" s="246"/>
      <c r="K370" s="73" t="s">
        <v>18</v>
      </c>
      <c r="L370" s="83"/>
    </row>
    <row r="371" spans="2:12" ht="28.5" customHeight="1">
      <c r="B371" s="67">
        <f>VLOOKUP(B370,tablaequipo,3)</f>
        <v>0</v>
      </c>
      <c r="C371" s="115"/>
      <c r="D371" s="135"/>
      <c r="E371" s="59"/>
      <c r="F371" s="197"/>
      <c r="G371" s="193" t="s">
        <v>20</v>
      </c>
      <c r="H371" s="242"/>
      <c r="I371" s="242"/>
      <c r="J371" s="242"/>
      <c r="K371" s="242"/>
      <c r="L371" s="243"/>
    </row>
    <row r="372" spans="2:12" ht="28.5" customHeight="1" thickBot="1">
      <c r="B372" s="19" t="str">
        <f>VLOOKUP(B370,tablaequipo,4)</f>
        <v>Camion</v>
      </c>
      <c r="C372" s="116"/>
      <c r="D372" s="136"/>
      <c r="E372" s="59"/>
      <c r="F372" s="197"/>
      <c r="G372" s="74" t="s">
        <v>21</v>
      </c>
      <c r="H372" s="244"/>
      <c r="I372" s="244"/>
      <c r="J372" s="244"/>
      <c r="K372" s="74" t="s">
        <v>22</v>
      </c>
      <c r="L372" s="78"/>
    </row>
    <row r="373" spans="2:12" ht="28.5" customHeight="1">
      <c r="B373" s="19">
        <f>VLOOKUP(B370,tablaequipo,5)</f>
        <v>0</v>
      </c>
      <c r="C373" s="116"/>
      <c r="D373" s="137" t="s">
        <v>95</v>
      </c>
      <c r="E373" s="59"/>
      <c r="F373" s="103" t="s">
        <v>88</v>
      </c>
      <c r="G373" s="193" t="s">
        <v>23</v>
      </c>
      <c r="H373" s="242"/>
      <c r="I373" s="242"/>
      <c r="J373" s="242"/>
      <c r="K373" s="242"/>
      <c r="L373" s="243"/>
    </row>
    <row r="374" spans="2:12" ht="28.5" customHeight="1" thickBot="1">
      <c r="B374" s="19" t="str">
        <f>VLOOKUP(B370,tablaequipo,6)</f>
        <v>Alquiler Camion</v>
      </c>
      <c r="C374" s="116"/>
      <c r="D374" s="138" t="str">
        <f>VLOOKUP(D373,tablatransporte,2)</f>
        <v>Transporte Rivas</v>
      </c>
      <c r="E374" s="59"/>
      <c r="F374" s="108"/>
      <c r="G374" s="79" t="s">
        <v>21</v>
      </c>
      <c r="H374" s="247"/>
      <c r="I374" s="247"/>
      <c r="J374" s="247"/>
      <c r="K374" s="79" t="s">
        <v>22</v>
      </c>
      <c r="L374" s="80"/>
    </row>
    <row r="375" spans="2:12" ht="28.5" customHeight="1">
      <c r="B375" s="106"/>
      <c r="C375" s="117"/>
      <c r="D375" s="153" t="s">
        <v>89</v>
      </c>
      <c r="E375" s="59"/>
      <c r="F375" s="197"/>
      <c r="G375" s="140" t="s">
        <v>25</v>
      </c>
      <c r="H375" s="237" t="s">
        <v>26</v>
      </c>
      <c r="I375" s="238"/>
      <c r="J375" s="140" t="s">
        <v>27</v>
      </c>
      <c r="K375" s="237" t="s">
        <v>28</v>
      </c>
      <c r="L375" s="239"/>
    </row>
    <row r="376" spans="2:12" ht="23.25" customHeight="1">
      <c r="B376" s="106"/>
      <c r="C376" s="117"/>
      <c r="D376" s="138" t="str">
        <f>VLOOKUP(D375,tablatipo,2)</f>
        <v xml:space="preserve">Seleccione Tipo </v>
      </c>
      <c r="E376" s="59"/>
      <c r="F376" s="197"/>
      <c r="G376" s="248" t="s">
        <v>90</v>
      </c>
      <c r="H376" s="249"/>
      <c r="I376" s="249"/>
      <c r="J376" s="249"/>
      <c r="K376" s="249"/>
      <c r="L376" s="250"/>
    </row>
    <row r="377" spans="2:12" ht="13.5" customHeight="1" thickBot="1">
      <c r="B377" s="106"/>
      <c r="C377" s="117"/>
      <c r="D377" s="136"/>
      <c r="E377" s="59"/>
      <c r="F377" s="197"/>
      <c r="G377" s="248"/>
      <c r="H377" s="249"/>
      <c r="I377" s="249"/>
      <c r="J377" s="249"/>
      <c r="K377" s="249"/>
      <c r="L377" s="250"/>
    </row>
    <row r="378" spans="2:12" ht="26.45" thickBot="1">
      <c r="B378" s="107"/>
      <c r="C378" s="118"/>
      <c r="D378" s="139"/>
      <c r="E378" s="60"/>
      <c r="F378" s="198"/>
      <c r="G378" s="194">
        <v>0</v>
      </c>
      <c r="H378" s="240" t="str">
        <f>VLOOKUP(G378,tablaestado,3)</f>
        <v>Seleccione Estado</v>
      </c>
      <c r="I378" s="240"/>
      <c r="J378" s="240"/>
      <c r="K378" s="240"/>
      <c r="L378" s="241"/>
    </row>
    <row r="379" spans="2:12" ht="28.5" customHeight="1" thickBot="1">
      <c r="B379" s="75" t="s">
        <v>1</v>
      </c>
      <c r="C379" s="75"/>
      <c r="D379" s="75" t="s">
        <v>82</v>
      </c>
      <c r="E379" s="76" t="s">
        <v>83</v>
      </c>
      <c r="F379" s="77" t="s">
        <v>22</v>
      </c>
      <c r="G379" s="229" t="s">
        <v>11</v>
      </c>
      <c r="H379" s="229"/>
      <c r="I379" s="81" t="s">
        <v>12</v>
      </c>
      <c r="J379" s="149"/>
      <c r="K379" s="81" t="s">
        <v>13</v>
      </c>
      <c r="L379" s="150">
        <v>0</v>
      </c>
    </row>
    <row r="380" spans="2:12" ht="28.5" customHeight="1" thickBot="1">
      <c r="B380" s="105" t="s">
        <v>99</v>
      </c>
      <c r="C380" s="109"/>
      <c r="D380" s="110" t="s">
        <v>85</v>
      </c>
      <c r="E380" s="82">
        <f>VLOOKUP(D380,personal,5)</f>
        <v>0</v>
      </c>
      <c r="F380" s="111"/>
      <c r="G380" s="73" t="s">
        <v>17</v>
      </c>
      <c r="H380" s="246"/>
      <c r="I380" s="246"/>
      <c r="J380" s="246"/>
      <c r="K380" s="73" t="s">
        <v>18</v>
      </c>
      <c r="L380" s="83"/>
    </row>
    <row r="381" spans="2:12" ht="28.5" customHeight="1">
      <c r="B381" s="67">
        <f>VLOOKUP(B380,tablaequipo,3)</f>
        <v>0</v>
      </c>
      <c r="C381" s="115"/>
      <c r="D381" s="135"/>
      <c r="E381" s="59"/>
      <c r="F381" s="197"/>
      <c r="G381" s="193" t="s">
        <v>20</v>
      </c>
      <c r="H381" s="242"/>
      <c r="I381" s="242"/>
      <c r="J381" s="242"/>
      <c r="K381" s="242"/>
      <c r="L381" s="243"/>
    </row>
    <row r="382" spans="2:12" ht="28.5" customHeight="1" thickBot="1">
      <c r="B382" s="19" t="str">
        <f>VLOOKUP(B380,tablaequipo,4)</f>
        <v>Camion</v>
      </c>
      <c r="C382" s="116"/>
      <c r="D382" s="136"/>
      <c r="E382" s="59"/>
      <c r="F382" s="197"/>
      <c r="G382" s="74" t="s">
        <v>21</v>
      </c>
      <c r="H382" s="244"/>
      <c r="I382" s="244"/>
      <c r="J382" s="244"/>
      <c r="K382" s="74" t="s">
        <v>22</v>
      </c>
      <c r="L382" s="78"/>
    </row>
    <row r="383" spans="2:12" ht="28.5" customHeight="1">
      <c r="B383" s="19">
        <f>VLOOKUP(B380,tablaequipo,5)</f>
        <v>0</v>
      </c>
      <c r="C383" s="116"/>
      <c r="D383" s="137" t="s">
        <v>95</v>
      </c>
      <c r="E383" s="59"/>
      <c r="F383" s="103" t="s">
        <v>88</v>
      </c>
      <c r="G383" s="193" t="s">
        <v>23</v>
      </c>
      <c r="H383" s="242"/>
      <c r="I383" s="242"/>
      <c r="J383" s="242"/>
      <c r="K383" s="242"/>
      <c r="L383" s="243"/>
    </row>
    <row r="384" spans="2:12" ht="28.5" customHeight="1" thickBot="1">
      <c r="B384" s="19" t="str">
        <f>VLOOKUP(B380,tablaequipo,6)</f>
        <v>Alquiler Camion</v>
      </c>
      <c r="C384" s="116"/>
      <c r="D384" s="138" t="str">
        <f>VLOOKUP(D383,tablatransporte,2)</f>
        <v>Transporte Rivas</v>
      </c>
      <c r="E384" s="59"/>
      <c r="F384" s="108"/>
      <c r="G384" s="79" t="s">
        <v>21</v>
      </c>
      <c r="H384" s="247"/>
      <c r="I384" s="247"/>
      <c r="J384" s="247"/>
      <c r="K384" s="79" t="s">
        <v>22</v>
      </c>
      <c r="L384" s="80"/>
    </row>
    <row r="385" spans="2:12" ht="28.5" customHeight="1">
      <c r="B385" s="106"/>
      <c r="C385" s="117"/>
      <c r="D385" s="153" t="s">
        <v>89</v>
      </c>
      <c r="E385" s="59"/>
      <c r="F385" s="197"/>
      <c r="G385" s="140" t="s">
        <v>25</v>
      </c>
      <c r="H385" s="237" t="s">
        <v>26</v>
      </c>
      <c r="I385" s="238"/>
      <c r="J385" s="140" t="s">
        <v>27</v>
      </c>
      <c r="K385" s="237" t="s">
        <v>28</v>
      </c>
      <c r="L385" s="239"/>
    </row>
    <row r="386" spans="2:12" ht="23.25" customHeight="1">
      <c r="B386" s="106"/>
      <c r="C386" s="117"/>
      <c r="D386" s="138" t="str">
        <f>VLOOKUP(D385,tablatipo,2)</f>
        <v xml:space="preserve">Seleccione Tipo </v>
      </c>
      <c r="E386" s="59"/>
      <c r="F386" s="197"/>
      <c r="G386" s="248" t="s">
        <v>90</v>
      </c>
      <c r="H386" s="249"/>
      <c r="I386" s="249"/>
      <c r="J386" s="249"/>
      <c r="K386" s="249"/>
      <c r="L386" s="250"/>
    </row>
    <row r="387" spans="2:12" ht="14.45" customHeight="1" thickBot="1">
      <c r="B387" s="106"/>
      <c r="C387" s="117"/>
      <c r="D387" s="136"/>
      <c r="E387" s="59"/>
      <c r="F387" s="197"/>
      <c r="G387" s="248"/>
      <c r="H387" s="249"/>
      <c r="I387" s="249"/>
      <c r="J387" s="249"/>
      <c r="K387" s="249"/>
      <c r="L387" s="250"/>
    </row>
    <row r="388" spans="2:12" ht="26.45" thickBot="1">
      <c r="B388" s="107"/>
      <c r="C388" s="118"/>
      <c r="D388" s="139"/>
      <c r="E388" s="60"/>
      <c r="F388" s="198"/>
      <c r="G388" s="194">
        <v>0</v>
      </c>
      <c r="H388" s="240" t="str">
        <f>VLOOKUP(G388,tablaestado,3)</f>
        <v>Seleccione Estado</v>
      </c>
      <c r="I388" s="240"/>
      <c r="J388" s="240"/>
      <c r="K388" s="240"/>
      <c r="L388" s="241"/>
    </row>
    <row r="389" spans="2:12" ht="28.5" customHeight="1" thickBot="1">
      <c r="B389" s="75" t="s">
        <v>1</v>
      </c>
      <c r="C389" s="75"/>
      <c r="D389" s="75" t="s">
        <v>82</v>
      </c>
      <c r="E389" s="76" t="s">
        <v>83</v>
      </c>
      <c r="F389" s="77" t="s">
        <v>22</v>
      </c>
      <c r="G389" s="229" t="s">
        <v>11</v>
      </c>
      <c r="H389" s="229"/>
      <c r="I389" s="81" t="s">
        <v>12</v>
      </c>
      <c r="J389" s="149"/>
      <c r="K389" s="81" t="s">
        <v>13</v>
      </c>
      <c r="L389" s="150">
        <v>0</v>
      </c>
    </row>
    <row r="390" spans="2:12" ht="28.5" customHeight="1" thickBot="1">
      <c r="B390" s="105" t="s">
        <v>100</v>
      </c>
      <c r="C390" s="109"/>
      <c r="D390" s="110" t="s">
        <v>85</v>
      </c>
      <c r="E390" s="82">
        <f>VLOOKUP(D390,personal,5)</f>
        <v>0</v>
      </c>
      <c r="F390" s="111"/>
      <c r="G390" s="73" t="s">
        <v>17</v>
      </c>
      <c r="H390" s="246"/>
      <c r="I390" s="246"/>
      <c r="J390" s="246"/>
      <c r="K390" s="73" t="s">
        <v>18</v>
      </c>
      <c r="L390" s="83"/>
    </row>
    <row r="391" spans="2:12" ht="28.5" customHeight="1">
      <c r="B391" s="67">
        <f>VLOOKUP(B390,tablaequipo,3)</f>
        <v>0</v>
      </c>
      <c r="C391" s="115"/>
      <c r="D391" s="135"/>
      <c r="E391" s="59"/>
      <c r="F391" s="197"/>
      <c r="G391" s="193" t="s">
        <v>20</v>
      </c>
      <c r="H391" s="242"/>
      <c r="I391" s="242"/>
      <c r="J391" s="242"/>
      <c r="K391" s="242"/>
      <c r="L391" s="243"/>
    </row>
    <row r="392" spans="2:12" ht="28.5" customHeight="1" thickBot="1">
      <c r="B392" s="19" t="str">
        <f>VLOOKUP(B390,tablaequipo,4)</f>
        <v>Camion</v>
      </c>
      <c r="C392" s="116"/>
      <c r="D392" s="136"/>
      <c r="E392" s="59"/>
      <c r="F392" s="197"/>
      <c r="G392" s="74" t="s">
        <v>21</v>
      </c>
      <c r="H392" s="244"/>
      <c r="I392" s="244"/>
      <c r="J392" s="244"/>
      <c r="K392" s="74" t="s">
        <v>22</v>
      </c>
      <c r="L392" s="78"/>
    </row>
    <row r="393" spans="2:12" ht="28.5" customHeight="1">
      <c r="B393" s="19">
        <f>VLOOKUP(B390,tablaequipo,5)</f>
        <v>0</v>
      </c>
      <c r="C393" s="116"/>
      <c r="D393" s="137" t="s">
        <v>101</v>
      </c>
      <c r="E393" s="59"/>
      <c r="F393" s="103" t="s">
        <v>88</v>
      </c>
      <c r="G393" s="193" t="s">
        <v>23</v>
      </c>
      <c r="H393" s="242"/>
      <c r="I393" s="242"/>
      <c r="J393" s="242"/>
      <c r="K393" s="242"/>
      <c r="L393" s="243"/>
    </row>
    <row r="394" spans="2:12" ht="28.5" customHeight="1" thickBot="1">
      <c r="B394" s="19" t="str">
        <f>VLOOKUP(B390,tablaequipo,6)</f>
        <v>Alquiler Camion</v>
      </c>
      <c r="C394" s="116"/>
      <c r="D394" s="138" t="str">
        <f>VLOOKUP(D393,tablatransporte,2)</f>
        <v>Transporte FBM</v>
      </c>
      <c r="E394" s="59"/>
      <c r="F394" s="108"/>
      <c r="G394" s="79" t="s">
        <v>21</v>
      </c>
      <c r="H394" s="247"/>
      <c r="I394" s="247"/>
      <c r="J394" s="247"/>
      <c r="K394" s="79" t="s">
        <v>22</v>
      </c>
      <c r="L394" s="80"/>
    </row>
    <row r="395" spans="2:12" ht="28.5" customHeight="1">
      <c r="B395" s="106"/>
      <c r="C395" s="117"/>
      <c r="D395" s="153" t="s">
        <v>89</v>
      </c>
      <c r="E395" s="59"/>
      <c r="F395" s="197"/>
      <c r="G395" s="140" t="s">
        <v>25</v>
      </c>
      <c r="H395" s="237" t="s">
        <v>26</v>
      </c>
      <c r="I395" s="238"/>
      <c r="J395" s="140" t="s">
        <v>27</v>
      </c>
      <c r="K395" s="237" t="s">
        <v>28</v>
      </c>
      <c r="L395" s="239"/>
    </row>
    <row r="396" spans="2:12" ht="23.25" customHeight="1">
      <c r="B396" s="106"/>
      <c r="C396" s="117"/>
      <c r="D396" s="138" t="str">
        <f>VLOOKUP(D395,tablatipo,2)</f>
        <v xml:space="preserve">Seleccione Tipo </v>
      </c>
      <c r="E396" s="59"/>
      <c r="F396" s="197"/>
      <c r="G396" s="248" t="s">
        <v>90</v>
      </c>
      <c r="H396" s="249"/>
      <c r="I396" s="249"/>
      <c r="J396" s="249"/>
      <c r="K396" s="249"/>
      <c r="L396" s="250"/>
    </row>
    <row r="397" spans="2:12" ht="14.45" customHeight="1" thickBot="1">
      <c r="B397" s="106"/>
      <c r="C397" s="117"/>
      <c r="D397" s="136"/>
      <c r="E397" s="59"/>
      <c r="F397" s="197"/>
      <c r="G397" s="248"/>
      <c r="H397" s="249"/>
      <c r="I397" s="249"/>
      <c r="J397" s="249"/>
      <c r="K397" s="249"/>
      <c r="L397" s="250"/>
    </row>
    <row r="398" spans="2:12" ht="26.45" thickBot="1">
      <c r="B398" s="107"/>
      <c r="C398" s="118"/>
      <c r="D398" s="139"/>
      <c r="E398" s="60"/>
      <c r="F398" s="198"/>
      <c r="G398" s="194">
        <v>0</v>
      </c>
      <c r="H398" s="240" t="str">
        <f>VLOOKUP(G398,tablaestado,3)</f>
        <v>Seleccione Estado</v>
      </c>
      <c r="I398" s="240"/>
      <c r="J398" s="240"/>
      <c r="K398" s="240"/>
      <c r="L398" s="241"/>
    </row>
    <row r="399" spans="2:12" ht="28.5" customHeight="1" thickBot="1">
      <c r="B399" s="75" t="s">
        <v>1</v>
      </c>
      <c r="C399" s="75"/>
      <c r="D399" s="75" t="s">
        <v>82</v>
      </c>
      <c r="E399" s="76" t="s">
        <v>83</v>
      </c>
      <c r="F399" s="77" t="s">
        <v>22</v>
      </c>
      <c r="G399" s="229" t="s">
        <v>11</v>
      </c>
      <c r="H399" s="229"/>
      <c r="I399" s="81" t="s">
        <v>12</v>
      </c>
      <c r="J399" s="149"/>
      <c r="K399" s="81" t="s">
        <v>13</v>
      </c>
      <c r="L399" s="150">
        <v>0</v>
      </c>
    </row>
    <row r="400" spans="2:12" ht="28.5" customHeight="1" thickBot="1">
      <c r="B400" s="105" t="s">
        <v>102</v>
      </c>
      <c r="C400" s="109"/>
      <c r="D400" s="110" t="s">
        <v>85</v>
      </c>
      <c r="E400" s="82">
        <f>VLOOKUP(D400,personal,5)</f>
        <v>0</v>
      </c>
      <c r="F400" s="111"/>
      <c r="G400" s="73" t="s">
        <v>17</v>
      </c>
      <c r="H400" s="246"/>
      <c r="I400" s="246"/>
      <c r="J400" s="246"/>
      <c r="K400" s="73" t="s">
        <v>18</v>
      </c>
      <c r="L400" s="83"/>
    </row>
    <row r="401" spans="2:12" ht="28.5" customHeight="1">
      <c r="B401" s="67">
        <f>VLOOKUP(B400,tablaequipo,3)</f>
        <v>0</v>
      </c>
      <c r="C401" s="115"/>
      <c r="D401" s="135"/>
      <c r="E401" s="59"/>
      <c r="F401" s="197"/>
      <c r="G401" s="193" t="s">
        <v>20</v>
      </c>
      <c r="H401" s="242"/>
      <c r="I401" s="242"/>
      <c r="J401" s="242"/>
      <c r="K401" s="242"/>
      <c r="L401" s="243"/>
    </row>
    <row r="402" spans="2:12" ht="28.5" customHeight="1" thickBot="1">
      <c r="B402" s="19" t="str">
        <f>VLOOKUP(B400,tablaequipo,4)</f>
        <v>Camion</v>
      </c>
      <c r="C402" s="116"/>
      <c r="D402" s="136"/>
      <c r="E402" s="59"/>
      <c r="F402" s="197"/>
      <c r="G402" s="74" t="s">
        <v>21</v>
      </c>
      <c r="H402" s="244"/>
      <c r="I402" s="244"/>
      <c r="J402" s="244"/>
      <c r="K402" s="74" t="s">
        <v>22</v>
      </c>
      <c r="L402" s="78"/>
    </row>
    <row r="403" spans="2:12" ht="28.5" customHeight="1">
      <c r="B403" s="19">
        <f>VLOOKUP(B400,tablaequipo,5)</f>
        <v>0</v>
      </c>
      <c r="C403" s="116"/>
      <c r="D403" s="137" t="s">
        <v>101</v>
      </c>
      <c r="E403" s="59"/>
      <c r="F403" s="103" t="s">
        <v>88</v>
      </c>
      <c r="G403" s="193" t="s">
        <v>23</v>
      </c>
      <c r="H403" s="242"/>
      <c r="I403" s="242"/>
      <c r="J403" s="242"/>
      <c r="K403" s="242"/>
      <c r="L403" s="243"/>
    </row>
    <row r="404" spans="2:12" ht="28.5" customHeight="1" thickBot="1">
      <c r="B404" s="19" t="str">
        <f>VLOOKUP(B400,tablaequipo,6)</f>
        <v>Alquiler Camion</v>
      </c>
      <c r="C404" s="116"/>
      <c r="D404" s="138" t="str">
        <f>VLOOKUP(D403,tablatransporte,2)</f>
        <v>Transporte FBM</v>
      </c>
      <c r="E404" s="59"/>
      <c r="F404" s="108"/>
      <c r="G404" s="79" t="s">
        <v>21</v>
      </c>
      <c r="H404" s="247"/>
      <c r="I404" s="247"/>
      <c r="J404" s="247"/>
      <c r="K404" s="79" t="s">
        <v>22</v>
      </c>
      <c r="L404" s="80"/>
    </row>
    <row r="405" spans="2:12" ht="28.5" customHeight="1">
      <c r="B405" s="106"/>
      <c r="C405" s="117"/>
      <c r="D405" s="153" t="s">
        <v>89</v>
      </c>
      <c r="E405" s="59"/>
      <c r="F405" s="197"/>
      <c r="G405" s="140" t="s">
        <v>25</v>
      </c>
      <c r="H405" s="237" t="s">
        <v>26</v>
      </c>
      <c r="I405" s="238"/>
      <c r="J405" s="140" t="s">
        <v>27</v>
      </c>
      <c r="K405" s="237" t="s">
        <v>28</v>
      </c>
      <c r="L405" s="239"/>
    </row>
    <row r="406" spans="2:12" ht="23.25" customHeight="1">
      <c r="B406" s="106"/>
      <c r="C406" s="117"/>
      <c r="D406" s="138" t="str">
        <f>VLOOKUP(D405,tablatipo,2)</f>
        <v xml:space="preserve">Seleccione Tipo </v>
      </c>
      <c r="E406" s="59"/>
      <c r="F406" s="197"/>
      <c r="G406" s="248" t="s">
        <v>90</v>
      </c>
      <c r="H406" s="249"/>
      <c r="I406" s="249"/>
      <c r="J406" s="249"/>
      <c r="K406" s="249"/>
      <c r="L406" s="250"/>
    </row>
    <row r="407" spans="2:12" ht="14.45" customHeight="1" thickBot="1">
      <c r="B407" s="106"/>
      <c r="C407" s="117"/>
      <c r="D407" s="136"/>
      <c r="E407" s="59"/>
      <c r="F407" s="197"/>
      <c r="G407" s="248"/>
      <c r="H407" s="249"/>
      <c r="I407" s="249"/>
      <c r="J407" s="249"/>
      <c r="K407" s="249"/>
      <c r="L407" s="250"/>
    </row>
    <row r="408" spans="2:12" ht="26.45" thickBot="1">
      <c r="B408" s="107"/>
      <c r="C408" s="118"/>
      <c r="D408" s="139"/>
      <c r="E408" s="60"/>
      <c r="F408" s="198"/>
      <c r="G408" s="194">
        <v>0</v>
      </c>
      <c r="H408" s="240" t="str">
        <f>VLOOKUP(G408,tablaestado,3)</f>
        <v>Seleccione Estado</v>
      </c>
      <c r="I408" s="240"/>
      <c r="J408" s="240"/>
      <c r="K408" s="240"/>
      <c r="L408" s="241"/>
    </row>
    <row r="409" spans="2:12" ht="28.5" customHeight="1" thickBot="1">
      <c r="B409" s="75" t="s">
        <v>1</v>
      </c>
      <c r="C409" s="75"/>
      <c r="D409" s="75" t="s">
        <v>82</v>
      </c>
      <c r="E409" s="76" t="s">
        <v>83</v>
      </c>
      <c r="F409" s="77" t="s">
        <v>22</v>
      </c>
      <c r="G409" s="229" t="s">
        <v>11</v>
      </c>
      <c r="H409" s="229"/>
      <c r="I409" s="81" t="s">
        <v>12</v>
      </c>
      <c r="J409" s="149"/>
      <c r="K409" s="81" t="s">
        <v>13</v>
      </c>
      <c r="L409" s="150">
        <v>0</v>
      </c>
    </row>
    <row r="410" spans="2:12" ht="28.5" customHeight="1" thickBot="1">
      <c r="B410" s="105" t="s">
        <v>103</v>
      </c>
      <c r="C410" s="109"/>
      <c r="D410" s="110" t="s">
        <v>85</v>
      </c>
      <c r="E410" s="82">
        <f>VLOOKUP(D410,personal,5)</f>
        <v>0</v>
      </c>
      <c r="F410" s="111"/>
      <c r="G410" s="73" t="s">
        <v>17</v>
      </c>
      <c r="H410" s="246"/>
      <c r="I410" s="246"/>
      <c r="J410" s="246"/>
      <c r="K410" s="73" t="s">
        <v>18</v>
      </c>
      <c r="L410" s="83"/>
    </row>
    <row r="411" spans="2:12" ht="28.5" customHeight="1">
      <c r="B411" s="67">
        <f>VLOOKUP(B410,tablaequipo,3)</f>
        <v>0</v>
      </c>
      <c r="C411" s="115"/>
      <c r="D411" s="135"/>
      <c r="E411" s="59"/>
      <c r="F411" s="197"/>
      <c r="G411" s="193" t="s">
        <v>20</v>
      </c>
      <c r="H411" s="242"/>
      <c r="I411" s="242"/>
      <c r="J411" s="242"/>
      <c r="K411" s="242"/>
      <c r="L411" s="243"/>
    </row>
    <row r="412" spans="2:12" ht="28.5" customHeight="1" thickBot="1">
      <c r="B412" s="19" t="str">
        <f>VLOOKUP(B410,tablaequipo,4)</f>
        <v>Camion</v>
      </c>
      <c r="C412" s="116"/>
      <c r="D412" s="136"/>
      <c r="E412" s="59"/>
      <c r="F412" s="197"/>
      <c r="G412" s="74" t="s">
        <v>21</v>
      </c>
      <c r="H412" s="244"/>
      <c r="I412" s="244"/>
      <c r="J412" s="244"/>
      <c r="K412" s="74" t="s">
        <v>22</v>
      </c>
      <c r="L412" s="78"/>
    </row>
    <row r="413" spans="2:12" ht="28.5" customHeight="1">
      <c r="B413" s="19">
        <f>VLOOKUP(B410,tablaequipo,5)</f>
        <v>0</v>
      </c>
      <c r="C413" s="116"/>
      <c r="D413" s="137" t="s">
        <v>101</v>
      </c>
      <c r="E413" s="59"/>
      <c r="F413" s="103" t="s">
        <v>88</v>
      </c>
      <c r="G413" s="193" t="s">
        <v>23</v>
      </c>
      <c r="H413" s="242"/>
      <c r="I413" s="242"/>
      <c r="J413" s="242"/>
      <c r="K413" s="242"/>
      <c r="L413" s="243"/>
    </row>
    <row r="414" spans="2:12" ht="28.5" customHeight="1" thickBot="1">
      <c r="B414" s="19" t="str">
        <f>VLOOKUP(B410,tablaequipo,6)</f>
        <v>Alquiler Camion</v>
      </c>
      <c r="C414" s="116"/>
      <c r="D414" s="138" t="str">
        <f>VLOOKUP(D413,tablatransporte,2)</f>
        <v>Transporte FBM</v>
      </c>
      <c r="E414" s="59"/>
      <c r="F414" s="108"/>
      <c r="G414" s="79" t="s">
        <v>21</v>
      </c>
      <c r="H414" s="247"/>
      <c r="I414" s="247"/>
      <c r="J414" s="247"/>
      <c r="K414" s="79" t="s">
        <v>22</v>
      </c>
      <c r="L414" s="80"/>
    </row>
    <row r="415" spans="2:12" ht="28.5" customHeight="1">
      <c r="B415" s="106"/>
      <c r="C415" s="117"/>
      <c r="D415" s="153" t="s">
        <v>89</v>
      </c>
      <c r="E415" s="59"/>
      <c r="F415" s="197"/>
      <c r="G415" s="140" t="s">
        <v>25</v>
      </c>
      <c r="H415" s="237" t="s">
        <v>26</v>
      </c>
      <c r="I415" s="238"/>
      <c r="J415" s="140" t="s">
        <v>27</v>
      </c>
      <c r="K415" s="237" t="s">
        <v>28</v>
      </c>
      <c r="L415" s="239"/>
    </row>
    <row r="416" spans="2:12" ht="23.25" customHeight="1">
      <c r="B416" s="106"/>
      <c r="C416" s="117"/>
      <c r="D416" s="138" t="str">
        <f>VLOOKUP(D415,tablatipo,2)</f>
        <v xml:space="preserve">Seleccione Tipo </v>
      </c>
      <c r="E416" s="59"/>
      <c r="F416" s="197"/>
      <c r="G416" s="248" t="s">
        <v>90</v>
      </c>
      <c r="H416" s="249"/>
      <c r="I416" s="249"/>
      <c r="J416" s="249"/>
      <c r="K416" s="249"/>
      <c r="L416" s="250"/>
    </row>
    <row r="417" spans="2:12" ht="14.45" customHeight="1" thickBot="1">
      <c r="B417" s="106"/>
      <c r="C417" s="117"/>
      <c r="D417" s="136"/>
      <c r="E417" s="59"/>
      <c r="F417" s="197"/>
      <c r="G417" s="248"/>
      <c r="H417" s="249"/>
      <c r="I417" s="249"/>
      <c r="J417" s="249"/>
      <c r="K417" s="249"/>
      <c r="L417" s="250"/>
    </row>
    <row r="418" spans="2:12" ht="26.45" thickBot="1">
      <c r="B418" s="107"/>
      <c r="C418" s="118"/>
      <c r="D418" s="139"/>
      <c r="E418" s="60"/>
      <c r="F418" s="198"/>
      <c r="G418" s="194">
        <v>0</v>
      </c>
      <c r="H418" s="240" t="str">
        <f>VLOOKUP(G418,tablaestado,3)</f>
        <v>Seleccione Estado</v>
      </c>
      <c r="I418" s="240"/>
      <c r="J418" s="240"/>
      <c r="K418" s="240"/>
      <c r="L418" s="241"/>
    </row>
  </sheetData>
  <dataConsolidate/>
  <mergeCells count="1882">
    <mergeCell ref="AL293:AP293"/>
    <mergeCell ref="H294:J294"/>
    <mergeCell ref="R294:T294"/>
    <mergeCell ref="AB294:AD294"/>
    <mergeCell ref="AL294:AN294"/>
    <mergeCell ref="H298:L298"/>
    <mergeCell ref="R298:V298"/>
    <mergeCell ref="AB298:AF298"/>
    <mergeCell ref="AL298:AP298"/>
    <mergeCell ref="H295:L295"/>
    <mergeCell ref="R295:V295"/>
    <mergeCell ref="AB295:AF295"/>
    <mergeCell ref="AL295:AP295"/>
    <mergeCell ref="H296:J296"/>
    <mergeCell ref="R296:T296"/>
    <mergeCell ref="AB296:AD296"/>
    <mergeCell ref="AL296:AN296"/>
    <mergeCell ref="H297:I297"/>
    <mergeCell ref="K297:L297"/>
    <mergeCell ref="R297:S297"/>
    <mergeCell ref="U297:V297"/>
    <mergeCell ref="B290:B291"/>
    <mergeCell ref="C290:C291"/>
    <mergeCell ref="E290:F290"/>
    <mergeCell ref="G290:L290"/>
    <mergeCell ref="M290:M291"/>
    <mergeCell ref="O290:P290"/>
    <mergeCell ref="Q290:V290"/>
    <mergeCell ref="W290:W291"/>
    <mergeCell ref="Y290:Z290"/>
    <mergeCell ref="AB297:AC297"/>
    <mergeCell ref="AE297:AF297"/>
    <mergeCell ref="AL297:AM297"/>
    <mergeCell ref="AO297:AP297"/>
    <mergeCell ref="AA290:AF290"/>
    <mergeCell ref="AG290:AG291"/>
    <mergeCell ref="AI290:AJ290"/>
    <mergeCell ref="AK290:AP290"/>
    <mergeCell ref="G291:H291"/>
    <mergeCell ref="Q291:R291"/>
    <mergeCell ref="AA291:AB291"/>
    <mergeCell ref="AK291:AL291"/>
    <mergeCell ref="C292:C298"/>
    <mergeCell ref="H292:J292"/>
    <mergeCell ref="M292:M298"/>
    <mergeCell ref="R292:T292"/>
    <mergeCell ref="W292:W298"/>
    <mergeCell ref="AB292:AD292"/>
    <mergeCell ref="AG292:AG298"/>
    <mergeCell ref="AL292:AN292"/>
    <mergeCell ref="H293:L293"/>
    <mergeCell ref="R293:V293"/>
    <mergeCell ref="AB293:AF293"/>
    <mergeCell ref="H288:I288"/>
    <mergeCell ref="K288:L288"/>
    <mergeCell ref="R288:S288"/>
    <mergeCell ref="U288:V288"/>
    <mergeCell ref="AB288:AC288"/>
    <mergeCell ref="AE288:AF288"/>
    <mergeCell ref="AL288:AM288"/>
    <mergeCell ref="AO288:AP288"/>
    <mergeCell ref="H289:L289"/>
    <mergeCell ref="R289:V289"/>
    <mergeCell ref="AB289:AF289"/>
    <mergeCell ref="AL289:AP289"/>
    <mergeCell ref="C283:C289"/>
    <mergeCell ref="H283:J283"/>
    <mergeCell ref="M283:M289"/>
    <mergeCell ref="R283:T283"/>
    <mergeCell ref="W283:W289"/>
    <mergeCell ref="AB283:AD283"/>
    <mergeCell ref="AG283:AG289"/>
    <mergeCell ref="AL283:AN283"/>
    <mergeCell ref="H284:L284"/>
    <mergeCell ref="R284:V284"/>
    <mergeCell ref="AB284:AF284"/>
    <mergeCell ref="AL284:AP284"/>
    <mergeCell ref="H285:J285"/>
    <mergeCell ref="R285:T285"/>
    <mergeCell ref="AB285:AD285"/>
    <mergeCell ref="AL285:AN285"/>
    <mergeCell ref="H286:L286"/>
    <mergeCell ref="R286:V286"/>
    <mergeCell ref="AB286:AF286"/>
    <mergeCell ref="AL286:AP286"/>
    <mergeCell ref="AB269:AD269"/>
    <mergeCell ref="AL269:AN269"/>
    <mergeCell ref="H287:J287"/>
    <mergeCell ref="R287:T287"/>
    <mergeCell ref="AB287:AD287"/>
    <mergeCell ref="AL287:AN287"/>
    <mergeCell ref="H280:L280"/>
    <mergeCell ref="R280:V280"/>
    <mergeCell ref="AB280:AF280"/>
    <mergeCell ref="AL280:AP280"/>
    <mergeCell ref="B281:B282"/>
    <mergeCell ref="C281:C282"/>
    <mergeCell ref="E281:F281"/>
    <mergeCell ref="G281:L281"/>
    <mergeCell ref="M281:M282"/>
    <mergeCell ref="O281:P281"/>
    <mergeCell ref="Q281:V281"/>
    <mergeCell ref="W281:W282"/>
    <mergeCell ref="Y281:Z281"/>
    <mergeCell ref="AA281:AF281"/>
    <mergeCell ref="AG281:AG282"/>
    <mergeCell ref="AI281:AJ281"/>
    <mergeCell ref="AK281:AP281"/>
    <mergeCell ref="G282:H282"/>
    <mergeCell ref="Q282:R282"/>
    <mergeCell ref="AA282:AB282"/>
    <mergeCell ref="AK282:AL282"/>
    <mergeCell ref="C274:C280"/>
    <mergeCell ref="AL278:AN278"/>
    <mergeCell ref="H279:I279"/>
    <mergeCell ref="K279:L279"/>
    <mergeCell ref="R279:S279"/>
    <mergeCell ref="AE279:AF279"/>
    <mergeCell ref="AL279:AM279"/>
    <mergeCell ref="AO279:AP279"/>
    <mergeCell ref="AA272:AF272"/>
    <mergeCell ref="AG272:AG273"/>
    <mergeCell ref="AI272:AJ272"/>
    <mergeCell ref="AK272:AP272"/>
    <mergeCell ref="G273:H273"/>
    <mergeCell ref="Q273:R273"/>
    <mergeCell ref="AA273:AB273"/>
    <mergeCell ref="AK273:AL273"/>
    <mergeCell ref="H274:J274"/>
    <mergeCell ref="M274:M280"/>
    <mergeCell ref="R274:T274"/>
    <mergeCell ref="W274:W280"/>
    <mergeCell ref="AB274:AD274"/>
    <mergeCell ref="AG274:AG280"/>
    <mergeCell ref="AL274:AN274"/>
    <mergeCell ref="H275:L275"/>
    <mergeCell ref="R275:V275"/>
    <mergeCell ref="AB275:AF275"/>
    <mergeCell ref="AL275:AP275"/>
    <mergeCell ref="H276:J276"/>
    <mergeCell ref="R276:T276"/>
    <mergeCell ref="AB276:AD276"/>
    <mergeCell ref="AL276:AN276"/>
    <mergeCell ref="U279:V279"/>
    <mergeCell ref="AB279:AC279"/>
    <mergeCell ref="B272:B273"/>
    <mergeCell ref="C272:C273"/>
    <mergeCell ref="E272:F272"/>
    <mergeCell ref="G272:L272"/>
    <mergeCell ref="M272:M273"/>
    <mergeCell ref="O272:P272"/>
    <mergeCell ref="Q272:V272"/>
    <mergeCell ref="W272:W273"/>
    <mergeCell ref="Y272:Z272"/>
    <mergeCell ref="H277:L277"/>
    <mergeCell ref="R277:V277"/>
    <mergeCell ref="AB277:AF277"/>
    <mergeCell ref="AL277:AP277"/>
    <mergeCell ref="H278:J278"/>
    <mergeCell ref="R278:T278"/>
    <mergeCell ref="AB278:AD278"/>
    <mergeCell ref="H270:I270"/>
    <mergeCell ref="K270:L270"/>
    <mergeCell ref="R270:S270"/>
    <mergeCell ref="U270:V270"/>
    <mergeCell ref="AB270:AC270"/>
    <mergeCell ref="AE270:AF270"/>
    <mergeCell ref="AL270:AM270"/>
    <mergeCell ref="AO270:AP270"/>
    <mergeCell ref="H271:L271"/>
    <mergeCell ref="R271:V271"/>
    <mergeCell ref="AB271:AF271"/>
    <mergeCell ref="AL271:AP271"/>
    <mergeCell ref="C265:C271"/>
    <mergeCell ref="H265:J265"/>
    <mergeCell ref="M265:M271"/>
    <mergeCell ref="R265:T265"/>
    <mergeCell ref="C256:C262"/>
    <mergeCell ref="R257:V257"/>
    <mergeCell ref="AB257:AF257"/>
    <mergeCell ref="AL257:AP257"/>
    <mergeCell ref="H258:J258"/>
    <mergeCell ref="R258:T258"/>
    <mergeCell ref="AB258:AD258"/>
    <mergeCell ref="H259:L259"/>
    <mergeCell ref="R259:V259"/>
    <mergeCell ref="AB259:AF259"/>
    <mergeCell ref="AL259:AP259"/>
    <mergeCell ref="H260:J260"/>
    <mergeCell ref="R260:T260"/>
    <mergeCell ref="AB260:AD260"/>
    <mergeCell ref="W265:W271"/>
    <mergeCell ref="AB265:AD265"/>
    <mergeCell ref="AG265:AG271"/>
    <mergeCell ref="AL265:AN265"/>
    <mergeCell ref="H266:L266"/>
    <mergeCell ref="R266:V266"/>
    <mergeCell ref="AB266:AF266"/>
    <mergeCell ref="AL266:AP266"/>
    <mergeCell ref="H267:J267"/>
    <mergeCell ref="R267:T267"/>
    <mergeCell ref="AB267:AD267"/>
    <mergeCell ref="AL267:AN267"/>
    <mergeCell ref="H268:L268"/>
    <mergeCell ref="R268:V268"/>
    <mergeCell ref="AB268:AF268"/>
    <mergeCell ref="AL268:AP268"/>
    <mergeCell ref="H269:J269"/>
    <mergeCell ref="R269:T269"/>
    <mergeCell ref="B263:B264"/>
    <mergeCell ref="C263:C264"/>
    <mergeCell ref="E263:F263"/>
    <mergeCell ref="G263:L263"/>
    <mergeCell ref="M263:M264"/>
    <mergeCell ref="O263:P263"/>
    <mergeCell ref="Q263:V263"/>
    <mergeCell ref="W263:W264"/>
    <mergeCell ref="Y263:Z263"/>
    <mergeCell ref="AA263:AF263"/>
    <mergeCell ref="AG263:AG264"/>
    <mergeCell ref="AI263:AJ263"/>
    <mergeCell ref="AK263:AP263"/>
    <mergeCell ref="G264:H264"/>
    <mergeCell ref="Q264:R264"/>
    <mergeCell ref="AA264:AB264"/>
    <mergeCell ref="AK264:AL264"/>
    <mergeCell ref="AL260:AN260"/>
    <mergeCell ref="H261:I261"/>
    <mergeCell ref="K261:L261"/>
    <mergeCell ref="R261:S261"/>
    <mergeCell ref="U261:V261"/>
    <mergeCell ref="AB261:AC261"/>
    <mergeCell ref="AE261:AF261"/>
    <mergeCell ref="AL261:AM261"/>
    <mergeCell ref="AO261:AP261"/>
    <mergeCell ref="AA254:AF254"/>
    <mergeCell ref="AG254:AG255"/>
    <mergeCell ref="AI254:AJ254"/>
    <mergeCell ref="AK254:AP254"/>
    <mergeCell ref="G255:H255"/>
    <mergeCell ref="Q255:R255"/>
    <mergeCell ref="AA255:AB255"/>
    <mergeCell ref="AK255:AL255"/>
    <mergeCell ref="H256:J256"/>
    <mergeCell ref="M256:M262"/>
    <mergeCell ref="R256:T256"/>
    <mergeCell ref="W256:W262"/>
    <mergeCell ref="AB256:AD256"/>
    <mergeCell ref="AG256:AG262"/>
    <mergeCell ref="AL256:AN256"/>
    <mergeCell ref="H257:L257"/>
    <mergeCell ref="AL258:AN258"/>
    <mergeCell ref="H262:L262"/>
    <mergeCell ref="R262:V262"/>
    <mergeCell ref="AB262:AF262"/>
    <mergeCell ref="AL262:AP262"/>
    <mergeCell ref="B254:B255"/>
    <mergeCell ref="C254:C255"/>
    <mergeCell ref="E254:F254"/>
    <mergeCell ref="G254:L254"/>
    <mergeCell ref="M254:M255"/>
    <mergeCell ref="O254:P254"/>
    <mergeCell ref="Q254:V254"/>
    <mergeCell ref="W254:W255"/>
    <mergeCell ref="Y254:Z254"/>
    <mergeCell ref="H252:I252"/>
    <mergeCell ref="K252:L252"/>
    <mergeCell ref="R252:S252"/>
    <mergeCell ref="U252:V252"/>
    <mergeCell ref="AB252:AC252"/>
    <mergeCell ref="AE252:AF252"/>
    <mergeCell ref="AL252:AM252"/>
    <mergeCell ref="AO252:AP252"/>
    <mergeCell ref="H253:L253"/>
    <mergeCell ref="R253:V253"/>
    <mergeCell ref="AB253:AF253"/>
    <mergeCell ref="AL253:AP253"/>
    <mergeCell ref="C247:C253"/>
    <mergeCell ref="H247:J247"/>
    <mergeCell ref="M247:M253"/>
    <mergeCell ref="R247:T247"/>
    <mergeCell ref="W247:W253"/>
    <mergeCell ref="AB247:AD247"/>
    <mergeCell ref="AG247:AG253"/>
    <mergeCell ref="AL247:AN247"/>
    <mergeCell ref="H248:L248"/>
    <mergeCell ref="R248:V248"/>
    <mergeCell ref="AB248:AF248"/>
    <mergeCell ref="H251:J251"/>
    <mergeCell ref="R251:T251"/>
    <mergeCell ref="AB251:AD251"/>
    <mergeCell ref="AL251:AN251"/>
    <mergeCell ref="AL244:AP244"/>
    <mergeCell ref="B245:B246"/>
    <mergeCell ref="C245:C246"/>
    <mergeCell ref="E245:F245"/>
    <mergeCell ref="G245:L245"/>
    <mergeCell ref="M245:M246"/>
    <mergeCell ref="O245:P245"/>
    <mergeCell ref="Q245:V245"/>
    <mergeCell ref="W245:W246"/>
    <mergeCell ref="Y245:Z245"/>
    <mergeCell ref="AA245:AF245"/>
    <mergeCell ref="AG245:AG246"/>
    <mergeCell ref="AI245:AJ245"/>
    <mergeCell ref="AK245:AP245"/>
    <mergeCell ref="G246:H246"/>
    <mergeCell ref="Q246:R246"/>
    <mergeCell ref="AA246:AB246"/>
    <mergeCell ref="AK246:AL246"/>
    <mergeCell ref="C238:C244"/>
    <mergeCell ref="AB242:AD242"/>
    <mergeCell ref="AL242:AN242"/>
    <mergeCell ref="H243:I243"/>
    <mergeCell ref="K243:L243"/>
    <mergeCell ref="R243:S243"/>
    <mergeCell ref="U243:V243"/>
    <mergeCell ref="AB243:AC243"/>
    <mergeCell ref="AE243:AF243"/>
    <mergeCell ref="AL243:AM243"/>
    <mergeCell ref="AO243:AP243"/>
    <mergeCell ref="AL248:AP248"/>
    <mergeCell ref="H249:J249"/>
    <mergeCell ref="R249:T249"/>
    <mergeCell ref="AB249:AD249"/>
    <mergeCell ref="AL249:AN249"/>
    <mergeCell ref="H250:L250"/>
    <mergeCell ref="R250:V250"/>
    <mergeCell ref="AB250:AF250"/>
    <mergeCell ref="AL250:AP250"/>
    <mergeCell ref="AA236:AF236"/>
    <mergeCell ref="AG236:AG237"/>
    <mergeCell ref="AI236:AJ236"/>
    <mergeCell ref="AK236:AP236"/>
    <mergeCell ref="G237:H237"/>
    <mergeCell ref="Q237:R237"/>
    <mergeCell ref="AA237:AB237"/>
    <mergeCell ref="AK237:AL237"/>
    <mergeCell ref="H238:J238"/>
    <mergeCell ref="M238:M244"/>
    <mergeCell ref="R238:T238"/>
    <mergeCell ref="W238:W244"/>
    <mergeCell ref="AB238:AD238"/>
    <mergeCell ref="AG238:AG244"/>
    <mergeCell ref="AL238:AN238"/>
    <mergeCell ref="H239:L239"/>
    <mergeCell ref="H244:L244"/>
    <mergeCell ref="R244:V244"/>
    <mergeCell ref="AB244:AF244"/>
    <mergeCell ref="R239:V239"/>
    <mergeCell ref="AB239:AF239"/>
    <mergeCell ref="AL239:AP239"/>
    <mergeCell ref="H240:J240"/>
    <mergeCell ref="R240:T240"/>
    <mergeCell ref="AB240:AD240"/>
    <mergeCell ref="AL240:AN240"/>
    <mergeCell ref="H241:L241"/>
    <mergeCell ref="R241:V241"/>
    <mergeCell ref="AB241:AF241"/>
    <mergeCell ref="AL241:AP241"/>
    <mergeCell ref="H242:J242"/>
    <mergeCell ref="R242:T242"/>
    <mergeCell ref="B236:B237"/>
    <mergeCell ref="C236:C237"/>
    <mergeCell ref="E236:F236"/>
    <mergeCell ref="G236:L236"/>
    <mergeCell ref="M236:M237"/>
    <mergeCell ref="O236:P236"/>
    <mergeCell ref="Q236:V236"/>
    <mergeCell ref="W236:W237"/>
    <mergeCell ref="Y236:Z236"/>
    <mergeCell ref="H234:I234"/>
    <mergeCell ref="K234:L234"/>
    <mergeCell ref="R234:S234"/>
    <mergeCell ref="U234:V234"/>
    <mergeCell ref="AB234:AC234"/>
    <mergeCell ref="AE234:AF234"/>
    <mergeCell ref="AL234:AM234"/>
    <mergeCell ref="AO234:AP234"/>
    <mergeCell ref="H235:L235"/>
    <mergeCell ref="R235:V235"/>
    <mergeCell ref="AB235:AF235"/>
    <mergeCell ref="AL235:AP235"/>
    <mergeCell ref="C229:C235"/>
    <mergeCell ref="H229:J229"/>
    <mergeCell ref="M229:M235"/>
    <mergeCell ref="R229:T229"/>
    <mergeCell ref="W229:W235"/>
    <mergeCell ref="AB229:AD229"/>
    <mergeCell ref="AG229:AG235"/>
    <mergeCell ref="AL229:AN229"/>
    <mergeCell ref="H230:L230"/>
    <mergeCell ref="R230:V230"/>
    <mergeCell ref="AB230:AF230"/>
    <mergeCell ref="AL230:AP230"/>
    <mergeCell ref="H231:J231"/>
    <mergeCell ref="R231:T231"/>
    <mergeCell ref="AB231:AD231"/>
    <mergeCell ref="AL231:AN231"/>
    <mergeCell ref="H232:L232"/>
    <mergeCell ref="R232:V232"/>
    <mergeCell ref="AB232:AF232"/>
    <mergeCell ref="AL232:AP232"/>
    <mergeCell ref="H233:J233"/>
    <mergeCell ref="R233:T233"/>
    <mergeCell ref="AB233:AD233"/>
    <mergeCell ref="AL233:AN233"/>
    <mergeCell ref="H226:L226"/>
    <mergeCell ref="R226:V226"/>
    <mergeCell ref="AB226:AF226"/>
    <mergeCell ref="AL226:AP226"/>
    <mergeCell ref="B227:B228"/>
    <mergeCell ref="C227:C228"/>
    <mergeCell ref="E227:F227"/>
    <mergeCell ref="G227:L227"/>
    <mergeCell ref="M227:M228"/>
    <mergeCell ref="O227:P227"/>
    <mergeCell ref="Q227:V227"/>
    <mergeCell ref="W227:W228"/>
    <mergeCell ref="Y227:Z227"/>
    <mergeCell ref="AA227:AF227"/>
    <mergeCell ref="AG227:AG228"/>
    <mergeCell ref="AI227:AJ227"/>
    <mergeCell ref="AK227:AP227"/>
    <mergeCell ref="G228:H228"/>
    <mergeCell ref="Q228:R228"/>
    <mergeCell ref="AA228:AB228"/>
    <mergeCell ref="AK228:AL228"/>
    <mergeCell ref="C220:C226"/>
    <mergeCell ref="AL224:AN224"/>
    <mergeCell ref="H225:I225"/>
    <mergeCell ref="K225:L225"/>
    <mergeCell ref="R225:S225"/>
    <mergeCell ref="U225:V225"/>
    <mergeCell ref="AB225:AC225"/>
    <mergeCell ref="AE225:AF225"/>
    <mergeCell ref="AL225:AM225"/>
    <mergeCell ref="AO225:AP225"/>
    <mergeCell ref="AA218:AF218"/>
    <mergeCell ref="AG218:AG219"/>
    <mergeCell ref="AI218:AJ218"/>
    <mergeCell ref="AK218:AP218"/>
    <mergeCell ref="G219:H219"/>
    <mergeCell ref="Q219:R219"/>
    <mergeCell ref="AA219:AB219"/>
    <mergeCell ref="AK219:AL219"/>
    <mergeCell ref="H220:J220"/>
    <mergeCell ref="M220:M226"/>
    <mergeCell ref="R220:T220"/>
    <mergeCell ref="W220:W226"/>
    <mergeCell ref="AB220:AD220"/>
    <mergeCell ref="AG220:AG226"/>
    <mergeCell ref="AL220:AN220"/>
    <mergeCell ref="H221:L221"/>
    <mergeCell ref="R221:V221"/>
    <mergeCell ref="AB221:AF221"/>
    <mergeCell ref="AL221:AP221"/>
    <mergeCell ref="H222:J222"/>
    <mergeCell ref="R222:T222"/>
    <mergeCell ref="AB222:AD222"/>
    <mergeCell ref="AL222:AN222"/>
    <mergeCell ref="H224:J224"/>
    <mergeCell ref="R224:T224"/>
    <mergeCell ref="AB224:AD224"/>
    <mergeCell ref="H216:I216"/>
    <mergeCell ref="K216:L216"/>
    <mergeCell ref="R216:S216"/>
    <mergeCell ref="U216:V216"/>
    <mergeCell ref="AB216:AC216"/>
    <mergeCell ref="AE216:AF216"/>
    <mergeCell ref="AL216:AM216"/>
    <mergeCell ref="AO216:AP216"/>
    <mergeCell ref="H217:L217"/>
    <mergeCell ref="R217:V217"/>
    <mergeCell ref="AB217:AF217"/>
    <mergeCell ref="AL217:AP217"/>
    <mergeCell ref="C211:C217"/>
    <mergeCell ref="H211:J211"/>
    <mergeCell ref="M211:M217"/>
    <mergeCell ref="R211:T211"/>
    <mergeCell ref="AL206:AN206"/>
    <mergeCell ref="H207:I207"/>
    <mergeCell ref="K207:L207"/>
    <mergeCell ref="R207:S207"/>
    <mergeCell ref="U207:V207"/>
    <mergeCell ref="AB207:AC207"/>
    <mergeCell ref="AE207:AF207"/>
    <mergeCell ref="AL215:AN215"/>
    <mergeCell ref="AL207:AM207"/>
    <mergeCell ref="AO207:AP207"/>
    <mergeCell ref="B218:B219"/>
    <mergeCell ref="C218:C219"/>
    <mergeCell ref="E218:F218"/>
    <mergeCell ref="G218:L218"/>
    <mergeCell ref="M218:M219"/>
    <mergeCell ref="O218:P218"/>
    <mergeCell ref="Q218:V218"/>
    <mergeCell ref="W218:W219"/>
    <mergeCell ref="Y218:Z218"/>
    <mergeCell ref="H223:L223"/>
    <mergeCell ref="R223:V223"/>
    <mergeCell ref="AB223:AF223"/>
    <mergeCell ref="AL223:AP223"/>
    <mergeCell ref="W211:W217"/>
    <mergeCell ref="AB211:AD211"/>
    <mergeCell ref="AG211:AG217"/>
    <mergeCell ref="AL211:AN211"/>
    <mergeCell ref="H212:L212"/>
    <mergeCell ref="R212:V212"/>
    <mergeCell ref="AB212:AF212"/>
    <mergeCell ref="AL212:AP212"/>
    <mergeCell ref="H213:J213"/>
    <mergeCell ref="R213:T213"/>
    <mergeCell ref="AB213:AD213"/>
    <mergeCell ref="AL213:AN213"/>
    <mergeCell ref="H214:L214"/>
    <mergeCell ref="R214:V214"/>
    <mergeCell ref="AB214:AF214"/>
    <mergeCell ref="AL214:AP214"/>
    <mergeCell ref="H215:J215"/>
    <mergeCell ref="R215:T215"/>
    <mergeCell ref="AB215:AD215"/>
    <mergeCell ref="B209:B210"/>
    <mergeCell ref="C209:C210"/>
    <mergeCell ref="E209:F209"/>
    <mergeCell ref="G209:L209"/>
    <mergeCell ref="M209:M210"/>
    <mergeCell ref="O209:P209"/>
    <mergeCell ref="Q209:V209"/>
    <mergeCell ref="W209:W210"/>
    <mergeCell ref="Y209:Z209"/>
    <mergeCell ref="AA209:AF209"/>
    <mergeCell ref="AG209:AG210"/>
    <mergeCell ref="AI209:AJ209"/>
    <mergeCell ref="AK209:AP209"/>
    <mergeCell ref="G210:H210"/>
    <mergeCell ref="Q210:R210"/>
    <mergeCell ref="AA210:AB210"/>
    <mergeCell ref="AK210:AL210"/>
    <mergeCell ref="AA200:AF200"/>
    <mergeCell ref="AG200:AG201"/>
    <mergeCell ref="AI200:AJ200"/>
    <mergeCell ref="AK200:AP200"/>
    <mergeCell ref="G201:H201"/>
    <mergeCell ref="Q201:R201"/>
    <mergeCell ref="AA201:AB201"/>
    <mergeCell ref="AK201:AL201"/>
    <mergeCell ref="H202:J202"/>
    <mergeCell ref="M202:M208"/>
    <mergeCell ref="R202:T202"/>
    <mergeCell ref="W202:W208"/>
    <mergeCell ref="AB202:AD202"/>
    <mergeCell ref="AG202:AG208"/>
    <mergeCell ref="AL202:AN202"/>
    <mergeCell ref="H203:L203"/>
    <mergeCell ref="H208:L208"/>
    <mergeCell ref="R208:V208"/>
    <mergeCell ref="AB208:AF208"/>
    <mergeCell ref="AL208:AP208"/>
    <mergeCell ref="H204:J204"/>
    <mergeCell ref="R204:T204"/>
    <mergeCell ref="AB204:AD204"/>
    <mergeCell ref="H205:L205"/>
    <mergeCell ref="R205:V205"/>
    <mergeCell ref="AB205:AF205"/>
    <mergeCell ref="AL205:AP205"/>
    <mergeCell ref="H206:J206"/>
    <mergeCell ref="R206:T206"/>
    <mergeCell ref="AB206:AD206"/>
    <mergeCell ref="R195:T195"/>
    <mergeCell ref="AB195:AD195"/>
    <mergeCell ref="AL195:AN195"/>
    <mergeCell ref="H196:L196"/>
    <mergeCell ref="R196:V196"/>
    <mergeCell ref="AB196:AF196"/>
    <mergeCell ref="AL196:AP196"/>
    <mergeCell ref="H197:J197"/>
    <mergeCell ref="R197:T197"/>
    <mergeCell ref="AB197:AD197"/>
    <mergeCell ref="AL197:AN197"/>
    <mergeCell ref="AL204:AN204"/>
    <mergeCell ref="B200:B201"/>
    <mergeCell ref="C200:C201"/>
    <mergeCell ref="E200:F200"/>
    <mergeCell ref="G200:L200"/>
    <mergeCell ref="M200:M201"/>
    <mergeCell ref="O200:P200"/>
    <mergeCell ref="Q200:V200"/>
    <mergeCell ref="W200:W201"/>
    <mergeCell ref="Y200:Z200"/>
    <mergeCell ref="H198:I198"/>
    <mergeCell ref="K198:L198"/>
    <mergeCell ref="R198:S198"/>
    <mergeCell ref="U198:V198"/>
    <mergeCell ref="AB198:AC198"/>
    <mergeCell ref="AE198:AF198"/>
    <mergeCell ref="AL198:AM198"/>
    <mergeCell ref="C202:C208"/>
    <mergeCell ref="R203:V203"/>
    <mergeCell ref="AB203:AF203"/>
    <mergeCell ref="AL203:AP203"/>
    <mergeCell ref="C184:C190"/>
    <mergeCell ref="R185:V185"/>
    <mergeCell ref="AB185:AF185"/>
    <mergeCell ref="AL185:AP185"/>
    <mergeCell ref="H186:J186"/>
    <mergeCell ref="R186:T186"/>
    <mergeCell ref="AB186:AD186"/>
    <mergeCell ref="AL186:AN186"/>
    <mergeCell ref="H187:L187"/>
    <mergeCell ref="R187:V187"/>
    <mergeCell ref="AB187:AF187"/>
    <mergeCell ref="AL187:AP187"/>
    <mergeCell ref="H188:J188"/>
    <mergeCell ref="R188:T188"/>
    <mergeCell ref="AO198:AP198"/>
    <mergeCell ref="H199:L199"/>
    <mergeCell ref="R199:V199"/>
    <mergeCell ref="AB199:AF199"/>
    <mergeCell ref="AL199:AP199"/>
    <mergeCell ref="C193:C199"/>
    <mergeCell ref="H193:J193"/>
    <mergeCell ref="M193:M199"/>
    <mergeCell ref="R193:T193"/>
    <mergeCell ref="W193:W199"/>
    <mergeCell ref="AB193:AD193"/>
    <mergeCell ref="AG193:AG199"/>
    <mergeCell ref="AL193:AN193"/>
    <mergeCell ref="H194:L194"/>
    <mergeCell ref="R194:V194"/>
    <mergeCell ref="AB194:AF194"/>
    <mergeCell ref="AL194:AP194"/>
    <mergeCell ref="H195:J195"/>
    <mergeCell ref="B191:B192"/>
    <mergeCell ref="C191:C192"/>
    <mergeCell ref="E191:F191"/>
    <mergeCell ref="G191:L191"/>
    <mergeCell ref="M191:M192"/>
    <mergeCell ref="O191:P191"/>
    <mergeCell ref="Q191:V191"/>
    <mergeCell ref="W191:W192"/>
    <mergeCell ref="Y191:Z191"/>
    <mergeCell ref="AA191:AF191"/>
    <mergeCell ref="AG191:AG192"/>
    <mergeCell ref="AI191:AJ191"/>
    <mergeCell ref="AK191:AP191"/>
    <mergeCell ref="G192:H192"/>
    <mergeCell ref="Q192:R192"/>
    <mergeCell ref="AA192:AB192"/>
    <mergeCell ref="AK192:AL192"/>
    <mergeCell ref="AB188:AD188"/>
    <mergeCell ref="AL188:AN188"/>
    <mergeCell ref="H189:I189"/>
    <mergeCell ref="K189:L189"/>
    <mergeCell ref="R189:S189"/>
    <mergeCell ref="U189:V189"/>
    <mergeCell ref="AB189:AC189"/>
    <mergeCell ref="AE189:AF189"/>
    <mergeCell ref="AL189:AM189"/>
    <mergeCell ref="AO189:AP189"/>
    <mergeCell ref="AA182:AF182"/>
    <mergeCell ref="AG182:AG183"/>
    <mergeCell ref="AI182:AJ182"/>
    <mergeCell ref="AK182:AP182"/>
    <mergeCell ref="G183:H183"/>
    <mergeCell ref="Q183:R183"/>
    <mergeCell ref="AA183:AB183"/>
    <mergeCell ref="AK183:AL183"/>
    <mergeCell ref="H184:J184"/>
    <mergeCell ref="M184:M190"/>
    <mergeCell ref="R184:T184"/>
    <mergeCell ref="W184:W190"/>
    <mergeCell ref="AB184:AD184"/>
    <mergeCell ref="AG184:AG190"/>
    <mergeCell ref="AL184:AN184"/>
    <mergeCell ref="H185:L185"/>
    <mergeCell ref="H190:L190"/>
    <mergeCell ref="R190:V190"/>
    <mergeCell ref="AB190:AF190"/>
    <mergeCell ref="AL190:AP190"/>
    <mergeCell ref="B182:B183"/>
    <mergeCell ref="C182:C183"/>
    <mergeCell ref="E182:F182"/>
    <mergeCell ref="G182:L182"/>
    <mergeCell ref="M182:M183"/>
    <mergeCell ref="O182:P182"/>
    <mergeCell ref="Q182:V182"/>
    <mergeCell ref="W182:W183"/>
    <mergeCell ref="Y182:Z182"/>
    <mergeCell ref="H180:I180"/>
    <mergeCell ref="K180:L180"/>
    <mergeCell ref="R180:S180"/>
    <mergeCell ref="U180:V180"/>
    <mergeCell ref="AB180:AC180"/>
    <mergeCell ref="AE180:AF180"/>
    <mergeCell ref="AL180:AM180"/>
    <mergeCell ref="AO180:AP180"/>
    <mergeCell ref="H181:L181"/>
    <mergeCell ref="R181:V181"/>
    <mergeCell ref="AB181:AF181"/>
    <mergeCell ref="AL181:AP181"/>
    <mergeCell ref="C175:C181"/>
    <mergeCell ref="H175:J175"/>
    <mergeCell ref="M175:M181"/>
    <mergeCell ref="R175:T175"/>
    <mergeCell ref="W175:W181"/>
    <mergeCell ref="AB175:AD175"/>
    <mergeCell ref="AG175:AG181"/>
    <mergeCell ref="AL175:AN175"/>
    <mergeCell ref="H176:L176"/>
    <mergeCell ref="R176:V176"/>
    <mergeCell ref="AB176:AF176"/>
    <mergeCell ref="AL176:AP176"/>
    <mergeCell ref="H177:J177"/>
    <mergeCell ref="R177:T177"/>
    <mergeCell ref="AB177:AD177"/>
    <mergeCell ref="AL177:AN177"/>
    <mergeCell ref="H178:L178"/>
    <mergeCell ref="R178:V178"/>
    <mergeCell ref="AB178:AF178"/>
    <mergeCell ref="AL178:AP178"/>
    <mergeCell ref="H179:J179"/>
    <mergeCell ref="R179:T179"/>
    <mergeCell ref="AB179:AD179"/>
    <mergeCell ref="AL179:AN179"/>
    <mergeCell ref="H172:L172"/>
    <mergeCell ref="R172:V172"/>
    <mergeCell ref="AB172:AF172"/>
    <mergeCell ref="AL172:AP172"/>
    <mergeCell ref="B173:B174"/>
    <mergeCell ref="C173:C174"/>
    <mergeCell ref="E173:F173"/>
    <mergeCell ref="G173:L173"/>
    <mergeCell ref="M173:M174"/>
    <mergeCell ref="O173:P173"/>
    <mergeCell ref="Q173:V173"/>
    <mergeCell ref="W173:W174"/>
    <mergeCell ref="Y173:Z173"/>
    <mergeCell ref="AA173:AF173"/>
    <mergeCell ref="AG173:AG174"/>
    <mergeCell ref="AI173:AJ173"/>
    <mergeCell ref="AK173:AP173"/>
    <mergeCell ref="G174:H174"/>
    <mergeCell ref="Q174:R174"/>
    <mergeCell ref="AA174:AB174"/>
    <mergeCell ref="AK174:AL174"/>
    <mergeCell ref="AL170:AN170"/>
    <mergeCell ref="H171:I171"/>
    <mergeCell ref="K171:L171"/>
    <mergeCell ref="R171:S171"/>
    <mergeCell ref="U171:V171"/>
    <mergeCell ref="AB171:AC171"/>
    <mergeCell ref="AE171:AF171"/>
    <mergeCell ref="AL171:AM171"/>
    <mergeCell ref="AO171:AP171"/>
    <mergeCell ref="AA164:AF164"/>
    <mergeCell ref="AG164:AG165"/>
    <mergeCell ref="AI164:AJ164"/>
    <mergeCell ref="AK164:AP164"/>
    <mergeCell ref="G165:H165"/>
    <mergeCell ref="Q165:R165"/>
    <mergeCell ref="AA165:AB165"/>
    <mergeCell ref="AK165:AL165"/>
    <mergeCell ref="C166:C172"/>
    <mergeCell ref="H166:J166"/>
    <mergeCell ref="M166:M172"/>
    <mergeCell ref="R166:T166"/>
    <mergeCell ref="W166:W172"/>
    <mergeCell ref="AB166:AD166"/>
    <mergeCell ref="AG166:AG172"/>
    <mergeCell ref="AL166:AN166"/>
    <mergeCell ref="H167:L167"/>
    <mergeCell ref="R167:V167"/>
    <mergeCell ref="AB167:AF167"/>
    <mergeCell ref="AL167:AP167"/>
    <mergeCell ref="H168:J168"/>
    <mergeCell ref="R168:T168"/>
    <mergeCell ref="AB168:AD168"/>
    <mergeCell ref="AL168:AN168"/>
    <mergeCell ref="B164:B165"/>
    <mergeCell ref="C164:C165"/>
    <mergeCell ref="E164:F164"/>
    <mergeCell ref="G164:L164"/>
    <mergeCell ref="M164:M165"/>
    <mergeCell ref="O164:P164"/>
    <mergeCell ref="Q164:V164"/>
    <mergeCell ref="W164:W165"/>
    <mergeCell ref="Y164:Z164"/>
    <mergeCell ref="H169:L169"/>
    <mergeCell ref="R169:V169"/>
    <mergeCell ref="AB169:AF169"/>
    <mergeCell ref="AL169:AP169"/>
    <mergeCell ref="H170:J170"/>
    <mergeCell ref="R170:T170"/>
    <mergeCell ref="AB170:AD170"/>
    <mergeCell ref="H162:I162"/>
    <mergeCell ref="K162:L162"/>
    <mergeCell ref="R162:S162"/>
    <mergeCell ref="U162:V162"/>
    <mergeCell ref="AB162:AC162"/>
    <mergeCell ref="AE162:AF162"/>
    <mergeCell ref="AL162:AM162"/>
    <mergeCell ref="AO162:AP162"/>
    <mergeCell ref="H163:L163"/>
    <mergeCell ref="R163:V163"/>
    <mergeCell ref="AB163:AF163"/>
    <mergeCell ref="AL163:AP163"/>
    <mergeCell ref="C157:C163"/>
    <mergeCell ref="H157:J157"/>
    <mergeCell ref="M157:M163"/>
    <mergeCell ref="R157:T157"/>
    <mergeCell ref="W157:W163"/>
    <mergeCell ref="AB157:AD157"/>
    <mergeCell ref="AG157:AG163"/>
    <mergeCell ref="AL157:AN157"/>
    <mergeCell ref="H158:L158"/>
    <mergeCell ref="R158:V158"/>
    <mergeCell ref="AB158:AF158"/>
    <mergeCell ref="AL158:AP158"/>
    <mergeCell ref="H159:J159"/>
    <mergeCell ref="R159:T159"/>
    <mergeCell ref="AB159:AD159"/>
    <mergeCell ref="AL159:AN159"/>
    <mergeCell ref="H160:L160"/>
    <mergeCell ref="R160:V160"/>
    <mergeCell ref="AB160:AF160"/>
    <mergeCell ref="AL160:AP160"/>
    <mergeCell ref="H161:J161"/>
    <mergeCell ref="R161:T161"/>
    <mergeCell ref="AB161:AD161"/>
    <mergeCell ref="AL161:AN161"/>
    <mergeCell ref="H154:L154"/>
    <mergeCell ref="R154:V154"/>
    <mergeCell ref="AB154:AF154"/>
    <mergeCell ref="AL154:AP154"/>
    <mergeCell ref="B155:B156"/>
    <mergeCell ref="C155:C156"/>
    <mergeCell ref="E155:F155"/>
    <mergeCell ref="G155:L155"/>
    <mergeCell ref="M155:M156"/>
    <mergeCell ref="O155:P155"/>
    <mergeCell ref="Q155:V155"/>
    <mergeCell ref="W155:W156"/>
    <mergeCell ref="Y155:Z155"/>
    <mergeCell ref="AA155:AF155"/>
    <mergeCell ref="AG155:AG156"/>
    <mergeCell ref="AI155:AJ155"/>
    <mergeCell ref="AK155:AP155"/>
    <mergeCell ref="G156:H156"/>
    <mergeCell ref="Q156:R156"/>
    <mergeCell ref="AA156:AB156"/>
    <mergeCell ref="AK156:AL156"/>
    <mergeCell ref="C148:C154"/>
    <mergeCell ref="R149:V149"/>
    <mergeCell ref="AB149:AF149"/>
    <mergeCell ref="AL149:AP149"/>
    <mergeCell ref="H150:J150"/>
    <mergeCell ref="R150:T150"/>
    <mergeCell ref="AB150:AD150"/>
    <mergeCell ref="H151:L151"/>
    <mergeCell ref="R151:V151"/>
    <mergeCell ref="AB151:AF151"/>
    <mergeCell ref="AL151:AP151"/>
    <mergeCell ref="H152:J152"/>
    <mergeCell ref="R152:T152"/>
    <mergeCell ref="AB152:AD152"/>
    <mergeCell ref="AL152:AN152"/>
    <mergeCell ref="H153:I153"/>
    <mergeCell ref="K153:L153"/>
    <mergeCell ref="R153:S153"/>
    <mergeCell ref="U153:V153"/>
    <mergeCell ref="AB153:AC153"/>
    <mergeCell ref="AE153:AF153"/>
    <mergeCell ref="AL153:AM153"/>
    <mergeCell ref="AO153:AP153"/>
    <mergeCell ref="AA146:AF146"/>
    <mergeCell ref="AG146:AG147"/>
    <mergeCell ref="AI146:AJ146"/>
    <mergeCell ref="AK146:AP146"/>
    <mergeCell ref="G147:H147"/>
    <mergeCell ref="Q147:R147"/>
    <mergeCell ref="AA147:AB147"/>
    <mergeCell ref="AK147:AL147"/>
    <mergeCell ref="H148:J148"/>
    <mergeCell ref="M148:M154"/>
    <mergeCell ref="R148:T148"/>
    <mergeCell ref="W148:W154"/>
    <mergeCell ref="AB148:AD148"/>
    <mergeCell ref="AG148:AG154"/>
    <mergeCell ref="AL148:AN148"/>
    <mergeCell ref="H149:L149"/>
    <mergeCell ref="R141:T141"/>
    <mergeCell ref="AB141:AD141"/>
    <mergeCell ref="AL141:AN141"/>
    <mergeCell ref="H142:L142"/>
    <mergeCell ref="R142:V142"/>
    <mergeCell ref="AB142:AF142"/>
    <mergeCell ref="AL142:AP142"/>
    <mergeCell ref="H143:J143"/>
    <mergeCell ref="R143:T143"/>
    <mergeCell ref="AB143:AD143"/>
    <mergeCell ref="AL143:AN143"/>
    <mergeCell ref="AL150:AN150"/>
    <mergeCell ref="B146:B147"/>
    <mergeCell ref="C146:C147"/>
    <mergeCell ref="E146:F146"/>
    <mergeCell ref="G146:L146"/>
    <mergeCell ref="M146:M147"/>
    <mergeCell ref="O146:P146"/>
    <mergeCell ref="Q146:V146"/>
    <mergeCell ref="W146:W147"/>
    <mergeCell ref="Y146:Z146"/>
    <mergeCell ref="H144:I144"/>
    <mergeCell ref="K144:L144"/>
    <mergeCell ref="R144:S144"/>
    <mergeCell ref="U144:V144"/>
    <mergeCell ref="AB144:AC144"/>
    <mergeCell ref="AE144:AF144"/>
    <mergeCell ref="AL144:AM144"/>
    <mergeCell ref="C130:C136"/>
    <mergeCell ref="R131:V131"/>
    <mergeCell ref="AB131:AF131"/>
    <mergeCell ref="AL131:AP131"/>
    <mergeCell ref="H132:J132"/>
    <mergeCell ref="R132:T132"/>
    <mergeCell ref="AB132:AD132"/>
    <mergeCell ref="AL132:AN132"/>
    <mergeCell ref="H133:L133"/>
    <mergeCell ref="R133:V133"/>
    <mergeCell ref="AB133:AF133"/>
    <mergeCell ref="AL133:AP133"/>
    <mergeCell ref="H134:J134"/>
    <mergeCell ref="R134:T134"/>
    <mergeCell ref="AO144:AP144"/>
    <mergeCell ref="H145:L145"/>
    <mergeCell ref="R145:V145"/>
    <mergeCell ref="AB145:AF145"/>
    <mergeCell ref="AL145:AP145"/>
    <mergeCell ref="C139:C145"/>
    <mergeCell ref="H139:J139"/>
    <mergeCell ref="M139:M145"/>
    <mergeCell ref="R139:T139"/>
    <mergeCell ref="W139:W145"/>
    <mergeCell ref="AB139:AD139"/>
    <mergeCell ref="AG139:AG145"/>
    <mergeCell ref="AL139:AN139"/>
    <mergeCell ref="H140:L140"/>
    <mergeCell ref="R140:V140"/>
    <mergeCell ref="AB140:AF140"/>
    <mergeCell ref="AL140:AP140"/>
    <mergeCell ref="H141:J141"/>
    <mergeCell ref="B137:B138"/>
    <mergeCell ref="C137:C138"/>
    <mergeCell ref="E137:F137"/>
    <mergeCell ref="G137:L137"/>
    <mergeCell ref="M137:M138"/>
    <mergeCell ref="O137:P137"/>
    <mergeCell ref="Q137:V137"/>
    <mergeCell ref="W137:W138"/>
    <mergeCell ref="Y137:Z137"/>
    <mergeCell ref="AA137:AF137"/>
    <mergeCell ref="AG137:AG138"/>
    <mergeCell ref="AI137:AJ137"/>
    <mergeCell ref="AK137:AP137"/>
    <mergeCell ref="G138:H138"/>
    <mergeCell ref="Q138:R138"/>
    <mergeCell ref="AA138:AB138"/>
    <mergeCell ref="AK138:AL138"/>
    <mergeCell ref="AB134:AD134"/>
    <mergeCell ref="AL134:AN134"/>
    <mergeCell ref="H135:I135"/>
    <mergeCell ref="K135:L135"/>
    <mergeCell ref="R135:S135"/>
    <mergeCell ref="U135:V135"/>
    <mergeCell ref="AB135:AC135"/>
    <mergeCell ref="AE135:AF135"/>
    <mergeCell ref="AL135:AM135"/>
    <mergeCell ref="AO135:AP135"/>
    <mergeCell ref="AA128:AF128"/>
    <mergeCell ref="AG128:AG129"/>
    <mergeCell ref="AI128:AJ128"/>
    <mergeCell ref="AK128:AP128"/>
    <mergeCell ref="G129:H129"/>
    <mergeCell ref="Q129:R129"/>
    <mergeCell ref="AA129:AB129"/>
    <mergeCell ref="AK129:AL129"/>
    <mergeCell ref="H130:J130"/>
    <mergeCell ref="M130:M136"/>
    <mergeCell ref="R130:T130"/>
    <mergeCell ref="W130:W136"/>
    <mergeCell ref="AB130:AD130"/>
    <mergeCell ref="AG130:AG136"/>
    <mergeCell ref="AL130:AN130"/>
    <mergeCell ref="H131:L131"/>
    <mergeCell ref="H136:L136"/>
    <mergeCell ref="R136:V136"/>
    <mergeCell ref="AB136:AF136"/>
    <mergeCell ref="AL136:AP136"/>
    <mergeCell ref="B128:B129"/>
    <mergeCell ref="C128:C129"/>
    <mergeCell ref="E128:F128"/>
    <mergeCell ref="G128:L128"/>
    <mergeCell ref="M128:M129"/>
    <mergeCell ref="O128:P128"/>
    <mergeCell ref="Q128:V128"/>
    <mergeCell ref="W128:W129"/>
    <mergeCell ref="Y128:Z128"/>
    <mergeCell ref="H126:I126"/>
    <mergeCell ref="K126:L126"/>
    <mergeCell ref="R126:S126"/>
    <mergeCell ref="U126:V126"/>
    <mergeCell ref="AB126:AC126"/>
    <mergeCell ref="AE126:AF126"/>
    <mergeCell ref="AL126:AM126"/>
    <mergeCell ref="AO126:AP126"/>
    <mergeCell ref="H127:L127"/>
    <mergeCell ref="R127:V127"/>
    <mergeCell ref="AB127:AF127"/>
    <mergeCell ref="AL127:AP127"/>
    <mergeCell ref="C121:C127"/>
    <mergeCell ref="H121:J121"/>
    <mergeCell ref="M121:M127"/>
    <mergeCell ref="R121:T121"/>
    <mergeCell ref="W121:W127"/>
    <mergeCell ref="AB121:AD121"/>
    <mergeCell ref="AG121:AG127"/>
    <mergeCell ref="AL121:AN121"/>
    <mergeCell ref="H122:L122"/>
    <mergeCell ref="R122:V122"/>
    <mergeCell ref="AB122:AF122"/>
    <mergeCell ref="AL122:AP122"/>
    <mergeCell ref="H123:J123"/>
    <mergeCell ref="R123:T123"/>
    <mergeCell ref="AB123:AD123"/>
    <mergeCell ref="AL123:AN123"/>
    <mergeCell ref="H124:L124"/>
    <mergeCell ref="R124:V124"/>
    <mergeCell ref="AB124:AF124"/>
    <mergeCell ref="AL124:AP124"/>
    <mergeCell ref="H125:J125"/>
    <mergeCell ref="R125:T125"/>
    <mergeCell ref="AB125:AD125"/>
    <mergeCell ref="AL125:AN125"/>
    <mergeCell ref="H118:L118"/>
    <mergeCell ref="R118:V118"/>
    <mergeCell ref="AB118:AF118"/>
    <mergeCell ref="AL118:AP118"/>
    <mergeCell ref="B119:B120"/>
    <mergeCell ref="C119:C120"/>
    <mergeCell ref="E119:F119"/>
    <mergeCell ref="G119:L119"/>
    <mergeCell ref="M119:M120"/>
    <mergeCell ref="O119:P119"/>
    <mergeCell ref="Q119:V119"/>
    <mergeCell ref="W119:W120"/>
    <mergeCell ref="Y119:Z119"/>
    <mergeCell ref="AA119:AF119"/>
    <mergeCell ref="AG119:AG120"/>
    <mergeCell ref="AI119:AJ119"/>
    <mergeCell ref="AK119:AP119"/>
    <mergeCell ref="G120:H120"/>
    <mergeCell ref="Q120:R120"/>
    <mergeCell ref="AA120:AB120"/>
    <mergeCell ref="AK120:AL120"/>
    <mergeCell ref="AL116:AN116"/>
    <mergeCell ref="H117:I117"/>
    <mergeCell ref="K117:L117"/>
    <mergeCell ref="R117:S117"/>
    <mergeCell ref="U117:V117"/>
    <mergeCell ref="AB117:AC117"/>
    <mergeCell ref="AE117:AF117"/>
    <mergeCell ref="AL117:AM117"/>
    <mergeCell ref="AO117:AP117"/>
    <mergeCell ref="AA110:AF110"/>
    <mergeCell ref="AG110:AG111"/>
    <mergeCell ref="AI110:AJ110"/>
    <mergeCell ref="AK110:AP110"/>
    <mergeCell ref="G111:H111"/>
    <mergeCell ref="Q111:R111"/>
    <mergeCell ref="AA111:AB111"/>
    <mergeCell ref="AK111:AL111"/>
    <mergeCell ref="C112:C118"/>
    <mergeCell ref="H112:J112"/>
    <mergeCell ref="M112:M118"/>
    <mergeCell ref="R112:T112"/>
    <mergeCell ref="W112:W118"/>
    <mergeCell ref="AB112:AD112"/>
    <mergeCell ref="AG112:AG118"/>
    <mergeCell ref="AL112:AN112"/>
    <mergeCell ref="H113:L113"/>
    <mergeCell ref="R113:V113"/>
    <mergeCell ref="AB113:AF113"/>
    <mergeCell ref="AL113:AP113"/>
    <mergeCell ref="H114:J114"/>
    <mergeCell ref="R114:T114"/>
    <mergeCell ref="AB114:AD114"/>
    <mergeCell ref="AL114:AN114"/>
    <mergeCell ref="B110:B111"/>
    <mergeCell ref="C110:C111"/>
    <mergeCell ref="E110:F110"/>
    <mergeCell ref="G110:L110"/>
    <mergeCell ref="M110:M111"/>
    <mergeCell ref="O110:P110"/>
    <mergeCell ref="Q110:V110"/>
    <mergeCell ref="W110:W111"/>
    <mergeCell ref="Y110:Z110"/>
    <mergeCell ref="H115:L115"/>
    <mergeCell ref="R115:V115"/>
    <mergeCell ref="AB115:AF115"/>
    <mergeCell ref="AL115:AP115"/>
    <mergeCell ref="H116:J116"/>
    <mergeCell ref="R116:T116"/>
    <mergeCell ref="AB116:AD116"/>
    <mergeCell ref="K108:L108"/>
    <mergeCell ref="R108:S108"/>
    <mergeCell ref="U108:V108"/>
    <mergeCell ref="AB108:AC108"/>
    <mergeCell ref="AE108:AF108"/>
    <mergeCell ref="AL108:AM108"/>
    <mergeCell ref="AO108:AP108"/>
    <mergeCell ref="H109:L109"/>
    <mergeCell ref="R109:V109"/>
    <mergeCell ref="AB109:AF109"/>
    <mergeCell ref="AL109:AP109"/>
    <mergeCell ref="C103:C109"/>
    <mergeCell ref="H103:J103"/>
    <mergeCell ref="M103:M109"/>
    <mergeCell ref="R103:T103"/>
    <mergeCell ref="W103:W109"/>
    <mergeCell ref="AB103:AD103"/>
    <mergeCell ref="AG103:AG109"/>
    <mergeCell ref="AL103:AN103"/>
    <mergeCell ref="H104:L104"/>
    <mergeCell ref="R104:V104"/>
    <mergeCell ref="AB104:AF104"/>
    <mergeCell ref="AL104:AP104"/>
    <mergeCell ref="H105:J105"/>
    <mergeCell ref="R105:T105"/>
    <mergeCell ref="AB105:AD105"/>
    <mergeCell ref="AL105:AN105"/>
    <mergeCell ref="H106:L106"/>
    <mergeCell ref="R106:V106"/>
    <mergeCell ref="AB106:AF106"/>
    <mergeCell ref="AL106:AP106"/>
    <mergeCell ref="R107:T107"/>
    <mergeCell ref="AB107:AD107"/>
    <mergeCell ref="AL107:AN107"/>
    <mergeCell ref="H100:L100"/>
    <mergeCell ref="R100:V100"/>
    <mergeCell ref="AB100:AF100"/>
    <mergeCell ref="AL100:AP100"/>
    <mergeCell ref="B101:B102"/>
    <mergeCell ref="C101:C102"/>
    <mergeCell ref="E101:F101"/>
    <mergeCell ref="G101:L101"/>
    <mergeCell ref="M101:M102"/>
    <mergeCell ref="O101:P101"/>
    <mergeCell ref="Q101:V101"/>
    <mergeCell ref="W101:W102"/>
    <mergeCell ref="Y101:Z101"/>
    <mergeCell ref="AA101:AF101"/>
    <mergeCell ref="AG101:AG102"/>
    <mergeCell ref="AI101:AJ101"/>
    <mergeCell ref="AK101:AP101"/>
    <mergeCell ref="G102:H102"/>
    <mergeCell ref="Q102:R102"/>
    <mergeCell ref="AA102:AB102"/>
    <mergeCell ref="AK102:AL102"/>
    <mergeCell ref="C94:C100"/>
    <mergeCell ref="R95:V95"/>
    <mergeCell ref="AB95:AF95"/>
    <mergeCell ref="AL95:AP95"/>
    <mergeCell ref="H96:J96"/>
    <mergeCell ref="R96:T96"/>
    <mergeCell ref="AB96:AD96"/>
    <mergeCell ref="R97:V97"/>
    <mergeCell ref="AB97:AF97"/>
    <mergeCell ref="AL97:AP97"/>
    <mergeCell ref="H98:J98"/>
    <mergeCell ref="R98:T98"/>
    <mergeCell ref="AB98:AD98"/>
    <mergeCell ref="AL98:AN98"/>
    <mergeCell ref="H99:I99"/>
    <mergeCell ref="K99:L99"/>
    <mergeCell ref="R99:S99"/>
    <mergeCell ref="U99:V99"/>
    <mergeCell ref="AB99:AC99"/>
    <mergeCell ref="AE99:AF99"/>
    <mergeCell ref="AL99:AM99"/>
    <mergeCell ref="AO99:AP99"/>
    <mergeCell ref="AA92:AF92"/>
    <mergeCell ref="AG92:AG93"/>
    <mergeCell ref="AI92:AJ92"/>
    <mergeCell ref="AK92:AP92"/>
    <mergeCell ref="G93:H93"/>
    <mergeCell ref="Q93:R93"/>
    <mergeCell ref="AA93:AB93"/>
    <mergeCell ref="AK93:AL93"/>
    <mergeCell ref="H94:J94"/>
    <mergeCell ref="M94:M100"/>
    <mergeCell ref="R94:T94"/>
    <mergeCell ref="W94:W100"/>
    <mergeCell ref="AB94:AD94"/>
    <mergeCell ref="AG94:AG100"/>
    <mergeCell ref="AL94:AN94"/>
    <mergeCell ref="H95:L95"/>
    <mergeCell ref="AL96:AN96"/>
    <mergeCell ref="B92:B93"/>
    <mergeCell ref="C92:C93"/>
    <mergeCell ref="E92:F92"/>
    <mergeCell ref="G92:L92"/>
    <mergeCell ref="M92:M93"/>
    <mergeCell ref="O92:P92"/>
    <mergeCell ref="Q92:V92"/>
    <mergeCell ref="W92:W93"/>
    <mergeCell ref="Y92:Z92"/>
    <mergeCell ref="R90:S90"/>
    <mergeCell ref="U90:V90"/>
    <mergeCell ref="AB90:AC90"/>
    <mergeCell ref="AE90:AF90"/>
    <mergeCell ref="AL90:AM90"/>
    <mergeCell ref="AO90:AP90"/>
    <mergeCell ref="H91:L91"/>
    <mergeCell ref="R91:V91"/>
    <mergeCell ref="AB91:AF91"/>
    <mergeCell ref="AL91:AP91"/>
    <mergeCell ref="C85:C91"/>
    <mergeCell ref="H85:J85"/>
    <mergeCell ref="M85:M91"/>
    <mergeCell ref="R85:T85"/>
    <mergeCell ref="W85:W91"/>
    <mergeCell ref="AB85:AD85"/>
    <mergeCell ref="AG85:AG91"/>
    <mergeCell ref="AL85:AN85"/>
    <mergeCell ref="H86:L86"/>
    <mergeCell ref="R86:V86"/>
    <mergeCell ref="AB86:AF86"/>
    <mergeCell ref="AL86:AP86"/>
    <mergeCell ref="R87:T87"/>
    <mergeCell ref="AB87:AD87"/>
    <mergeCell ref="AL87:AN87"/>
    <mergeCell ref="H88:L88"/>
    <mergeCell ref="R88:V88"/>
    <mergeCell ref="AB88:AF88"/>
    <mergeCell ref="AL88:AP88"/>
    <mergeCell ref="H89:J89"/>
    <mergeCell ref="R89:T89"/>
    <mergeCell ref="AB89:AD89"/>
    <mergeCell ref="AL89:AN89"/>
    <mergeCell ref="R82:V82"/>
    <mergeCell ref="AB82:AF82"/>
    <mergeCell ref="AL82:AP82"/>
    <mergeCell ref="B83:B84"/>
    <mergeCell ref="C83:C84"/>
    <mergeCell ref="E83:F83"/>
    <mergeCell ref="G83:L83"/>
    <mergeCell ref="M83:M84"/>
    <mergeCell ref="O83:P83"/>
    <mergeCell ref="Q83:V83"/>
    <mergeCell ref="W83:W84"/>
    <mergeCell ref="Y83:Z83"/>
    <mergeCell ref="AA83:AF83"/>
    <mergeCell ref="AG83:AG84"/>
    <mergeCell ref="AI83:AJ83"/>
    <mergeCell ref="AK83:AP83"/>
    <mergeCell ref="G84:H84"/>
    <mergeCell ref="Q84:R84"/>
    <mergeCell ref="AA84:AB84"/>
    <mergeCell ref="AK84:AL84"/>
    <mergeCell ref="B74:B75"/>
    <mergeCell ref="C74:C75"/>
    <mergeCell ref="E74:F74"/>
    <mergeCell ref="G74:L74"/>
    <mergeCell ref="M74:M75"/>
    <mergeCell ref="O74:P74"/>
    <mergeCell ref="Q74:V74"/>
    <mergeCell ref="W74:W75"/>
    <mergeCell ref="Y74:Z74"/>
    <mergeCell ref="R79:V79"/>
    <mergeCell ref="AB79:AF79"/>
    <mergeCell ref="AL79:AP79"/>
    <mergeCell ref="H80:J80"/>
    <mergeCell ref="R80:T80"/>
    <mergeCell ref="AB80:AD80"/>
    <mergeCell ref="AL80:AN80"/>
    <mergeCell ref="H81:I81"/>
    <mergeCell ref="K81:L81"/>
    <mergeCell ref="R81:S81"/>
    <mergeCell ref="U81:V81"/>
    <mergeCell ref="AB81:AC81"/>
    <mergeCell ref="AE81:AF81"/>
    <mergeCell ref="AL81:AM81"/>
    <mergeCell ref="AO81:AP81"/>
    <mergeCell ref="AA74:AF74"/>
    <mergeCell ref="AG74:AG75"/>
    <mergeCell ref="AI74:AJ74"/>
    <mergeCell ref="AK74:AP74"/>
    <mergeCell ref="G75:H75"/>
    <mergeCell ref="Q75:R75"/>
    <mergeCell ref="AA75:AB75"/>
    <mergeCell ref="AK75:AL75"/>
    <mergeCell ref="R72:S72"/>
    <mergeCell ref="U72:V72"/>
    <mergeCell ref="AB72:AC72"/>
    <mergeCell ref="AE72:AF72"/>
    <mergeCell ref="AL72:AM72"/>
    <mergeCell ref="AO72:AP72"/>
    <mergeCell ref="AK66:AL66"/>
    <mergeCell ref="C67:C73"/>
    <mergeCell ref="H67:J67"/>
    <mergeCell ref="M67:M73"/>
    <mergeCell ref="C76:C82"/>
    <mergeCell ref="H76:J76"/>
    <mergeCell ref="M76:M82"/>
    <mergeCell ref="R76:T76"/>
    <mergeCell ref="W76:W82"/>
    <mergeCell ref="AB76:AD76"/>
    <mergeCell ref="AG76:AG82"/>
    <mergeCell ref="AL76:AN76"/>
    <mergeCell ref="H77:L77"/>
    <mergeCell ref="R77:V77"/>
    <mergeCell ref="AB77:AF77"/>
    <mergeCell ref="AL77:AP77"/>
    <mergeCell ref="H78:J78"/>
    <mergeCell ref="R78:T78"/>
    <mergeCell ref="AB78:AD78"/>
    <mergeCell ref="AL78:AN78"/>
    <mergeCell ref="B65:B66"/>
    <mergeCell ref="C65:C66"/>
    <mergeCell ref="E65:F65"/>
    <mergeCell ref="G65:L65"/>
    <mergeCell ref="M65:M66"/>
    <mergeCell ref="O65:P65"/>
    <mergeCell ref="Q65:V65"/>
    <mergeCell ref="W65:W66"/>
    <mergeCell ref="Y65:Z65"/>
    <mergeCell ref="AA65:AF65"/>
    <mergeCell ref="AG65:AG66"/>
    <mergeCell ref="AI65:AJ65"/>
    <mergeCell ref="AK65:AP65"/>
    <mergeCell ref="G66:H66"/>
    <mergeCell ref="Q66:R66"/>
    <mergeCell ref="AA66:AB66"/>
    <mergeCell ref="AL71:AN71"/>
    <mergeCell ref="B56:B57"/>
    <mergeCell ref="C56:C57"/>
    <mergeCell ref="E56:F56"/>
    <mergeCell ref="G56:L56"/>
    <mergeCell ref="M56:M57"/>
    <mergeCell ref="O56:P56"/>
    <mergeCell ref="Q56:V56"/>
    <mergeCell ref="W56:W57"/>
    <mergeCell ref="Y56:Z56"/>
    <mergeCell ref="R67:T67"/>
    <mergeCell ref="W67:W73"/>
    <mergeCell ref="AB67:AD67"/>
    <mergeCell ref="AG67:AG73"/>
    <mergeCell ref="AL67:AN67"/>
    <mergeCell ref="H68:L68"/>
    <mergeCell ref="R68:V68"/>
    <mergeCell ref="AB68:AF68"/>
    <mergeCell ref="AL68:AP68"/>
    <mergeCell ref="H69:J69"/>
    <mergeCell ref="R69:T69"/>
    <mergeCell ref="AB69:AD69"/>
    <mergeCell ref="AL69:AN69"/>
    <mergeCell ref="H70:L70"/>
    <mergeCell ref="R70:V70"/>
    <mergeCell ref="AB70:AF70"/>
    <mergeCell ref="AL70:AP70"/>
    <mergeCell ref="H71:J71"/>
    <mergeCell ref="R71:T71"/>
    <mergeCell ref="AB71:AD71"/>
    <mergeCell ref="R73:V73"/>
    <mergeCell ref="AB73:AF73"/>
    <mergeCell ref="AL73:AP73"/>
    <mergeCell ref="AL63:AM63"/>
    <mergeCell ref="AO63:AP63"/>
    <mergeCell ref="H64:L64"/>
    <mergeCell ref="R64:V64"/>
    <mergeCell ref="AB64:AF64"/>
    <mergeCell ref="AL64:AP64"/>
    <mergeCell ref="C58:C64"/>
    <mergeCell ref="H58:J58"/>
    <mergeCell ref="M58:M64"/>
    <mergeCell ref="R58:T58"/>
    <mergeCell ref="W58:W64"/>
    <mergeCell ref="AB58:AD58"/>
    <mergeCell ref="AG58:AG64"/>
    <mergeCell ref="AL58:AN58"/>
    <mergeCell ref="H59:L59"/>
    <mergeCell ref="R59:V59"/>
    <mergeCell ref="AB59:AF59"/>
    <mergeCell ref="AL59:AP59"/>
    <mergeCell ref="H60:J60"/>
    <mergeCell ref="R60:T60"/>
    <mergeCell ref="AB60:AD60"/>
    <mergeCell ref="AL60:AN60"/>
    <mergeCell ref="H61:L61"/>
    <mergeCell ref="R61:V61"/>
    <mergeCell ref="AB61:AF61"/>
    <mergeCell ref="AL61:AP61"/>
    <mergeCell ref="H62:J62"/>
    <mergeCell ref="R62:T62"/>
    <mergeCell ref="AL62:AN62"/>
    <mergeCell ref="AB55:AF55"/>
    <mergeCell ref="AL55:AP55"/>
    <mergeCell ref="R52:V52"/>
    <mergeCell ref="AB52:AF52"/>
    <mergeCell ref="AL52:AP52"/>
    <mergeCell ref="H53:J53"/>
    <mergeCell ref="R53:T53"/>
    <mergeCell ref="AB53:AD53"/>
    <mergeCell ref="AL53:AN53"/>
    <mergeCell ref="H54:I54"/>
    <mergeCell ref="K54:L54"/>
    <mergeCell ref="R54:S54"/>
    <mergeCell ref="U54:V54"/>
    <mergeCell ref="AB54:AC54"/>
    <mergeCell ref="AE54:AF54"/>
    <mergeCell ref="AL54:AM54"/>
    <mergeCell ref="AO54:AP54"/>
    <mergeCell ref="AA56:AF56"/>
    <mergeCell ref="AG56:AG57"/>
    <mergeCell ref="AI56:AJ56"/>
    <mergeCell ref="AK56:AP56"/>
    <mergeCell ref="G57:H57"/>
    <mergeCell ref="Q57:R57"/>
    <mergeCell ref="AA57:AB57"/>
    <mergeCell ref="AK57:AL57"/>
    <mergeCell ref="AG47:AG48"/>
    <mergeCell ref="AI47:AJ47"/>
    <mergeCell ref="AK47:AP47"/>
    <mergeCell ref="G48:H48"/>
    <mergeCell ref="Q48:R48"/>
    <mergeCell ref="AA48:AB48"/>
    <mergeCell ref="AK48:AL48"/>
    <mergeCell ref="C49:C55"/>
    <mergeCell ref="H49:J49"/>
    <mergeCell ref="M49:M55"/>
    <mergeCell ref="R49:T49"/>
    <mergeCell ref="W49:W55"/>
    <mergeCell ref="AB49:AD49"/>
    <mergeCell ref="AG49:AG55"/>
    <mergeCell ref="AL49:AN49"/>
    <mergeCell ref="H50:L50"/>
    <mergeCell ref="R50:V50"/>
    <mergeCell ref="AB50:AF50"/>
    <mergeCell ref="AL50:AP50"/>
    <mergeCell ref="H51:J51"/>
    <mergeCell ref="R51:T51"/>
    <mergeCell ref="AB51:AD51"/>
    <mergeCell ref="AL51:AN51"/>
    <mergeCell ref="R55:V55"/>
    <mergeCell ref="B47:B48"/>
    <mergeCell ref="C47:C48"/>
    <mergeCell ref="E47:F47"/>
    <mergeCell ref="G47:L47"/>
    <mergeCell ref="M47:M48"/>
    <mergeCell ref="O47:P47"/>
    <mergeCell ref="Q47:V47"/>
    <mergeCell ref="W47:W48"/>
    <mergeCell ref="Y47:Z47"/>
    <mergeCell ref="R45:S45"/>
    <mergeCell ref="U45:V45"/>
    <mergeCell ref="AB45:AC45"/>
    <mergeCell ref="AE45:AF45"/>
    <mergeCell ref="AL45:AM45"/>
    <mergeCell ref="AO45:AP45"/>
    <mergeCell ref="H46:L46"/>
    <mergeCell ref="R46:V46"/>
    <mergeCell ref="AB46:AF46"/>
    <mergeCell ref="AL46:AP46"/>
    <mergeCell ref="C40:C46"/>
    <mergeCell ref="H40:J40"/>
    <mergeCell ref="M40:M46"/>
    <mergeCell ref="R40:T40"/>
    <mergeCell ref="W40:W46"/>
    <mergeCell ref="AB40:AD40"/>
    <mergeCell ref="AG40:AG46"/>
    <mergeCell ref="AL40:AN40"/>
    <mergeCell ref="H41:L41"/>
    <mergeCell ref="R41:V41"/>
    <mergeCell ref="AB41:AF41"/>
    <mergeCell ref="AL41:AP41"/>
    <mergeCell ref="H42:J42"/>
    <mergeCell ref="AL42:AN42"/>
    <mergeCell ref="H43:L43"/>
    <mergeCell ref="R43:V43"/>
    <mergeCell ref="AB43:AF43"/>
    <mergeCell ref="AL43:AP43"/>
    <mergeCell ref="H44:J44"/>
    <mergeCell ref="R44:T44"/>
    <mergeCell ref="AB44:AD44"/>
    <mergeCell ref="AL44:AN44"/>
    <mergeCell ref="R37:V37"/>
    <mergeCell ref="AB37:AF37"/>
    <mergeCell ref="AL37:AP37"/>
    <mergeCell ref="H31:J31"/>
    <mergeCell ref="H32:L32"/>
    <mergeCell ref="H33:J33"/>
    <mergeCell ref="AL34:AP34"/>
    <mergeCell ref="H35:J35"/>
    <mergeCell ref="R35:T35"/>
    <mergeCell ref="AB35:AD35"/>
    <mergeCell ref="AL35:AN35"/>
    <mergeCell ref="H36:I36"/>
    <mergeCell ref="K36:L36"/>
    <mergeCell ref="R36:S36"/>
    <mergeCell ref="U36:V36"/>
    <mergeCell ref="AB36:AC36"/>
    <mergeCell ref="AE36:AF36"/>
    <mergeCell ref="AL36:AM36"/>
    <mergeCell ref="AO36:AP36"/>
    <mergeCell ref="B38:B39"/>
    <mergeCell ref="C38:C39"/>
    <mergeCell ref="E38:F38"/>
    <mergeCell ref="G38:L38"/>
    <mergeCell ref="M38:M39"/>
    <mergeCell ref="O38:P38"/>
    <mergeCell ref="Q38:V38"/>
    <mergeCell ref="W38:W39"/>
    <mergeCell ref="Y38:Z38"/>
    <mergeCell ref="AA38:AF38"/>
    <mergeCell ref="AG38:AG39"/>
    <mergeCell ref="AI38:AJ38"/>
    <mergeCell ref="AK38:AP38"/>
    <mergeCell ref="G39:H39"/>
    <mergeCell ref="Q39:R39"/>
    <mergeCell ref="AA39:AB39"/>
    <mergeCell ref="AK39:AL39"/>
    <mergeCell ref="AG29:AG30"/>
    <mergeCell ref="AI29:AJ29"/>
    <mergeCell ref="AK29:AP29"/>
    <mergeCell ref="G30:H30"/>
    <mergeCell ref="Q30:R30"/>
    <mergeCell ref="AA30:AB30"/>
    <mergeCell ref="AK30:AL30"/>
    <mergeCell ref="C31:C37"/>
    <mergeCell ref="M31:M37"/>
    <mergeCell ref="R31:T31"/>
    <mergeCell ref="W31:W37"/>
    <mergeCell ref="AB31:AD31"/>
    <mergeCell ref="AG31:AG37"/>
    <mergeCell ref="AL31:AN31"/>
    <mergeCell ref="R32:V32"/>
    <mergeCell ref="AB32:AF32"/>
    <mergeCell ref="AL32:AP32"/>
    <mergeCell ref="R33:T33"/>
    <mergeCell ref="AB33:AD33"/>
    <mergeCell ref="AL33:AN33"/>
    <mergeCell ref="H34:L34"/>
    <mergeCell ref="R34:V34"/>
    <mergeCell ref="AB34:AF34"/>
    <mergeCell ref="B29:B30"/>
    <mergeCell ref="C29:C30"/>
    <mergeCell ref="E29:F29"/>
    <mergeCell ref="G29:L29"/>
    <mergeCell ref="M29:M30"/>
    <mergeCell ref="O29:P29"/>
    <mergeCell ref="Q29:V29"/>
    <mergeCell ref="W29:W30"/>
    <mergeCell ref="Y29:Z29"/>
    <mergeCell ref="R27:S27"/>
    <mergeCell ref="U27:V27"/>
    <mergeCell ref="AB27:AC27"/>
    <mergeCell ref="AE27:AF27"/>
    <mergeCell ref="AL27:AM27"/>
    <mergeCell ref="AO27:AP27"/>
    <mergeCell ref="H28:L28"/>
    <mergeCell ref="R28:V28"/>
    <mergeCell ref="AB28:AF28"/>
    <mergeCell ref="AL28:AP28"/>
    <mergeCell ref="C22:C28"/>
    <mergeCell ref="H22:J22"/>
    <mergeCell ref="M22:M28"/>
    <mergeCell ref="R22:T22"/>
    <mergeCell ref="W22:W28"/>
    <mergeCell ref="AB22:AD22"/>
    <mergeCell ref="AG22:AG28"/>
    <mergeCell ref="AL22:AN22"/>
    <mergeCell ref="H23:L23"/>
    <mergeCell ref="R23:V23"/>
    <mergeCell ref="AB23:AF23"/>
    <mergeCell ref="AL23:AP23"/>
    <mergeCell ref="H24:J24"/>
    <mergeCell ref="AL26:AN26"/>
    <mergeCell ref="H19:L19"/>
    <mergeCell ref="R19:V19"/>
    <mergeCell ref="AB19:AF19"/>
    <mergeCell ref="AL19:AP19"/>
    <mergeCell ref="B20:B21"/>
    <mergeCell ref="C20:C21"/>
    <mergeCell ref="E20:F20"/>
    <mergeCell ref="G20:L20"/>
    <mergeCell ref="M20:M21"/>
    <mergeCell ref="O20:P20"/>
    <mergeCell ref="Q20:V20"/>
    <mergeCell ref="W20:W21"/>
    <mergeCell ref="Y20:Z20"/>
    <mergeCell ref="AA20:AF20"/>
    <mergeCell ref="AG20:AG21"/>
    <mergeCell ref="AI20:AJ20"/>
    <mergeCell ref="AK20:AP20"/>
    <mergeCell ref="G21:H21"/>
    <mergeCell ref="Q21:R21"/>
    <mergeCell ref="AA21:AB21"/>
    <mergeCell ref="AK21:AL21"/>
    <mergeCell ref="AL18:AM18"/>
    <mergeCell ref="AO18:AP18"/>
    <mergeCell ref="AA11:AF11"/>
    <mergeCell ref="AG11:AG12"/>
    <mergeCell ref="AI11:AJ11"/>
    <mergeCell ref="AK11:AP11"/>
    <mergeCell ref="G12:H12"/>
    <mergeCell ref="Q12:R12"/>
    <mergeCell ref="AA12:AB12"/>
    <mergeCell ref="AK12:AL12"/>
    <mergeCell ref="R24:T24"/>
    <mergeCell ref="AB24:AD24"/>
    <mergeCell ref="AL24:AN24"/>
    <mergeCell ref="H25:L25"/>
    <mergeCell ref="R25:V25"/>
    <mergeCell ref="AB25:AF25"/>
    <mergeCell ref="AL25:AP25"/>
    <mergeCell ref="AG13:AG19"/>
    <mergeCell ref="AL13:AN13"/>
    <mergeCell ref="H14:L14"/>
    <mergeCell ref="R14:V14"/>
    <mergeCell ref="AB14:AF14"/>
    <mergeCell ref="AL14:AP14"/>
    <mergeCell ref="H15:J15"/>
    <mergeCell ref="R15:T15"/>
    <mergeCell ref="AB15:AD15"/>
    <mergeCell ref="AL15:AN15"/>
    <mergeCell ref="H18:I18"/>
    <mergeCell ref="K18:L18"/>
    <mergeCell ref="R18:S18"/>
    <mergeCell ref="U18:V18"/>
    <mergeCell ref="AB18:AC18"/>
    <mergeCell ref="B11:B12"/>
    <mergeCell ref="C11:C12"/>
    <mergeCell ref="E11:F11"/>
    <mergeCell ref="G11:L11"/>
    <mergeCell ref="M11:M12"/>
    <mergeCell ref="O11:P11"/>
    <mergeCell ref="Q11:V11"/>
    <mergeCell ref="W11:W12"/>
    <mergeCell ref="Y11:Z11"/>
    <mergeCell ref="H16:L16"/>
    <mergeCell ref="R16:V16"/>
    <mergeCell ref="AB16:AF16"/>
    <mergeCell ref="AL16:AP16"/>
    <mergeCell ref="H17:J17"/>
    <mergeCell ref="R17:T17"/>
    <mergeCell ref="AB17:AD17"/>
    <mergeCell ref="AL17:AN17"/>
    <mergeCell ref="B2:B3"/>
    <mergeCell ref="C2:C3"/>
    <mergeCell ref="E2:F2"/>
    <mergeCell ref="G3:H3"/>
    <mergeCell ref="G416:G417"/>
    <mergeCell ref="H416:L417"/>
    <mergeCell ref="G406:G407"/>
    <mergeCell ref="H406:L407"/>
    <mergeCell ref="H418:L418"/>
    <mergeCell ref="H411:L411"/>
    <mergeCell ref="H412:J412"/>
    <mergeCell ref="H413:L413"/>
    <mergeCell ref="H414:J414"/>
    <mergeCell ref="H415:I415"/>
    <mergeCell ref="K415:L415"/>
    <mergeCell ref="H408:L408"/>
    <mergeCell ref="G409:H409"/>
    <mergeCell ref="H410:J410"/>
    <mergeCell ref="H401:L401"/>
    <mergeCell ref="H402:J402"/>
    <mergeCell ref="H403:L403"/>
    <mergeCell ref="H404:J404"/>
    <mergeCell ref="H405:I405"/>
    <mergeCell ref="K405:L405"/>
    <mergeCell ref="H396:L397"/>
    <mergeCell ref="H398:L398"/>
    <mergeCell ref="G399:H399"/>
    <mergeCell ref="H400:J400"/>
    <mergeCell ref="H381:L381"/>
    <mergeCell ref="H382:J382"/>
    <mergeCell ref="H383:L383"/>
    <mergeCell ref="H384:J384"/>
    <mergeCell ref="H385:I385"/>
    <mergeCell ref="K385:L385"/>
    <mergeCell ref="G396:G397"/>
    <mergeCell ref="H360:J360"/>
    <mergeCell ref="G359:H359"/>
    <mergeCell ref="H391:L391"/>
    <mergeCell ref="H392:J392"/>
    <mergeCell ref="H393:L393"/>
    <mergeCell ref="H394:J394"/>
    <mergeCell ref="H395:I395"/>
    <mergeCell ref="K395:L395"/>
    <mergeCell ref="G386:G387"/>
    <mergeCell ref="H386:L387"/>
    <mergeCell ref="H388:L388"/>
    <mergeCell ref="G389:H389"/>
    <mergeCell ref="H390:J390"/>
    <mergeCell ref="H376:L377"/>
    <mergeCell ref="H378:L378"/>
    <mergeCell ref="G379:H379"/>
    <mergeCell ref="H380:J380"/>
    <mergeCell ref="H371:L371"/>
    <mergeCell ref="H372:J372"/>
    <mergeCell ref="H373:L373"/>
    <mergeCell ref="H374:J374"/>
    <mergeCell ref="H375:I375"/>
    <mergeCell ref="K375:L375"/>
    <mergeCell ref="G366:G367"/>
    <mergeCell ref="H366:L367"/>
    <mergeCell ref="H368:L368"/>
    <mergeCell ref="G369:H369"/>
    <mergeCell ref="H370:J370"/>
    <mergeCell ref="G376:G377"/>
    <mergeCell ref="H358:L358"/>
    <mergeCell ref="H355:I355"/>
    <mergeCell ref="K355:L355"/>
    <mergeCell ref="H331:L331"/>
    <mergeCell ref="H338:L338"/>
    <mergeCell ref="H332:J332"/>
    <mergeCell ref="H333:L333"/>
    <mergeCell ref="H334:J334"/>
    <mergeCell ref="H340:J340"/>
    <mergeCell ref="H365:I365"/>
    <mergeCell ref="K365:L365"/>
    <mergeCell ref="H346:L347"/>
    <mergeCell ref="G349:H349"/>
    <mergeCell ref="H354:J354"/>
    <mergeCell ref="H353:L353"/>
    <mergeCell ref="H348:L348"/>
    <mergeCell ref="G339:H339"/>
    <mergeCell ref="H341:L341"/>
    <mergeCell ref="K345:L345"/>
    <mergeCell ref="H345:I345"/>
    <mergeCell ref="H352:J352"/>
    <mergeCell ref="K335:L335"/>
    <mergeCell ref="H344:J344"/>
    <mergeCell ref="H343:L343"/>
    <mergeCell ref="H361:L361"/>
    <mergeCell ref="H362:J362"/>
    <mergeCell ref="H363:L363"/>
    <mergeCell ref="H364:J364"/>
    <mergeCell ref="G356:G357"/>
    <mergeCell ref="H356:L357"/>
    <mergeCell ref="H325:I325"/>
    <mergeCell ref="K325:L325"/>
    <mergeCell ref="H350:J350"/>
    <mergeCell ref="H351:L351"/>
    <mergeCell ref="H321:L321"/>
    <mergeCell ref="H322:J322"/>
    <mergeCell ref="H335:I335"/>
    <mergeCell ref="H336:L337"/>
    <mergeCell ref="H328:L328"/>
    <mergeCell ref="G329:H329"/>
    <mergeCell ref="H330:J330"/>
    <mergeCell ref="G326:G327"/>
    <mergeCell ref="H326:L327"/>
    <mergeCell ref="H342:J342"/>
    <mergeCell ref="G336:G337"/>
    <mergeCell ref="G346:G347"/>
    <mergeCell ref="H320:J320"/>
    <mergeCell ref="H324:J324"/>
    <mergeCell ref="H318:L318"/>
    <mergeCell ref="H310:J310"/>
    <mergeCell ref="H311:L311"/>
    <mergeCell ref="H303:L303"/>
    <mergeCell ref="H304:J304"/>
    <mergeCell ref="H308:L308"/>
    <mergeCell ref="G319:H319"/>
    <mergeCell ref="H323:L323"/>
    <mergeCell ref="G316:G317"/>
    <mergeCell ref="H316:L317"/>
    <mergeCell ref="H305:I305"/>
    <mergeCell ref="K305:L305"/>
    <mergeCell ref="G309:H309"/>
    <mergeCell ref="K315:L315"/>
    <mergeCell ref="H314:J314"/>
    <mergeCell ref="H306:L307"/>
    <mergeCell ref="G306:G307"/>
    <mergeCell ref="E1:F1"/>
    <mergeCell ref="C4:C10"/>
    <mergeCell ref="G2:L2"/>
    <mergeCell ref="M2:M3"/>
    <mergeCell ref="O2:P2"/>
    <mergeCell ref="H300:J300"/>
    <mergeCell ref="H301:L301"/>
    <mergeCell ref="H302:J302"/>
    <mergeCell ref="H27:I27"/>
    <mergeCell ref="K27:L27"/>
    <mergeCell ref="H37:L37"/>
    <mergeCell ref="H45:I45"/>
    <mergeCell ref="K45:L45"/>
    <mergeCell ref="H52:L52"/>
    <mergeCell ref="H55:L55"/>
    <mergeCell ref="H63:I63"/>
    <mergeCell ref="K63:L63"/>
    <mergeCell ref="H73:L73"/>
    <mergeCell ref="H79:L79"/>
    <mergeCell ref="H82:L82"/>
    <mergeCell ref="H90:I90"/>
    <mergeCell ref="K90:L90"/>
    <mergeCell ref="C13:C19"/>
    <mergeCell ref="H13:J13"/>
    <mergeCell ref="M13:M19"/>
    <mergeCell ref="H26:J26"/>
    <mergeCell ref="H72:I72"/>
    <mergeCell ref="K72:L72"/>
    <mergeCell ref="H87:J87"/>
    <mergeCell ref="H97:L97"/>
    <mergeCell ref="H107:J107"/>
    <mergeCell ref="H108:I108"/>
    <mergeCell ref="AB7:AF7"/>
    <mergeCell ref="AB8:AD8"/>
    <mergeCell ref="AB9:AC9"/>
    <mergeCell ref="AE9:AF9"/>
    <mergeCell ref="AB10:AF10"/>
    <mergeCell ref="H4:J4"/>
    <mergeCell ref="H5:L5"/>
    <mergeCell ref="H6:J6"/>
    <mergeCell ref="H7:L7"/>
    <mergeCell ref="H8:J8"/>
    <mergeCell ref="K9:L9"/>
    <mergeCell ref="H9:I9"/>
    <mergeCell ref="H10:L10"/>
    <mergeCell ref="H313:L313"/>
    <mergeCell ref="H315:I315"/>
    <mergeCell ref="G299:H299"/>
    <mergeCell ref="H312:J312"/>
    <mergeCell ref="R13:T13"/>
    <mergeCell ref="W13:W19"/>
    <mergeCell ref="AB13:AD13"/>
    <mergeCell ref="AE18:AF18"/>
    <mergeCell ref="R26:T26"/>
    <mergeCell ref="AB26:AD26"/>
    <mergeCell ref="AA29:AF29"/>
    <mergeCell ref="R42:T42"/>
    <mergeCell ref="AB42:AD42"/>
    <mergeCell ref="AA47:AF47"/>
    <mergeCell ref="AB62:AD62"/>
    <mergeCell ref="R63:S63"/>
    <mergeCell ref="U63:V63"/>
    <mergeCell ref="AB63:AC63"/>
    <mergeCell ref="AE63:AF63"/>
    <mergeCell ref="AG2:AG3"/>
    <mergeCell ref="AI2:AJ2"/>
    <mergeCell ref="AK2:AP2"/>
    <mergeCell ref="AK3:AL3"/>
    <mergeCell ref="AG4:AG10"/>
    <mergeCell ref="AL4:AN4"/>
    <mergeCell ref="AL5:AP5"/>
    <mergeCell ref="AL6:AN6"/>
    <mergeCell ref="AL7:AP7"/>
    <mergeCell ref="AL8:AN8"/>
    <mergeCell ref="AL9:AM9"/>
    <mergeCell ref="AO9:AP9"/>
    <mergeCell ref="AL10:AP10"/>
    <mergeCell ref="Q3:R3"/>
    <mergeCell ref="M4:M10"/>
    <mergeCell ref="R4:T4"/>
    <mergeCell ref="R5:V5"/>
    <mergeCell ref="R6:T6"/>
    <mergeCell ref="R7:V7"/>
    <mergeCell ref="R8:T8"/>
    <mergeCell ref="R9:S9"/>
    <mergeCell ref="U9:V9"/>
    <mergeCell ref="R10:V10"/>
    <mergeCell ref="W2:W3"/>
    <mergeCell ref="W4:W10"/>
    <mergeCell ref="Q2:V2"/>
    <mergeCell ref="Y2:Z2"/>
    <mergeCell ref="AA2:AF2"/>
    <mergeCell ref="AA3:AB3"/>
    <mergeCell ref="AB4:AD4"/>
    <mergeCell ref="AB5:AF5"/>
    <mergeCell ref="AB6:AD6"/>
  </mergeCells>
  <conditionalFormatting sqref="B10">
    <cfRule type="containsText" dxfId="674" priority="2783" operator="containsText" text="TRASLADO CARRETON">
      <formula>NOT(ISERROR(SEARCH("TRASLADO CARRETON",B10)))</formula>
    </cfRule>
    <cfRule type="containsText" dxfId="673" priority="2778" operator="containsText" text="OTROS">
      <formula>NOT(ISERROR(SEARCH("OTROS",B10)))</formula>
    </cfRule>
    <cfRule type="containsText" dxfId="672" priority="2829" operator="containsText" text="PERMISO CORTE">
      <formula>NOT(ISERROR(SEARCH("PERMISO CORTE",B10)))</formula>
    </cfRule>
  </conditionalFormatting>
  <conditionalFormatting sqref="B19">
    <cfRule type="containsText" dxfId="671" priority="604" operator="containsText" text="PERMISO CORTE">
      <formula>NOT(ISERROR(SEARCH("PERMISO CORTE",B19)))</formula>
    </cfRule>
    <cfRule type="containsText" dxfId="670" priority="603" operator="containsText" text="TRASLADO CARRETON">
      <formula>NOT(ISERROR(SEARCH("TRASLADO CARRETON",B19)))</formula>
    </cfRule>
    <cfRule type="containsText" dxfId="669" priority="602" operator="containsText" text="OTROS">
      <formula>NOT(ISERROR(SEARCH("OTROS",B19)))</formula>
    </cfRule>
  </conditionalFormatting>
  <conditionalFormatting sqref="B28">
    <cfRule type="containsText" dxfId="668" priority="585" operator="containsText" text="PERMISO CORTE">
      <formula>NOT(ISERROR(SEARCH("PERMISO CORTE",B28)))</formula>
    </cfRule>
    <cfRule type="containsText" dxfId="667" priority="584" operator="containsText" text="TRASLADO CARRETON">
      <formula>NOT(ISERROR(SEARCH("TRASLADO CARRETON",B28)))</formula>
    </cfRule>
    <cfRule type="containsText" dxfId="666" priority="583" operator="containsText" text="OTROS">
      <formula>NOT(ISERROR(SEARCH("OTROS",B28)))</formula>
    </cfRule>
  </conditionalFormatting>
  <conditionalFormatting sqref="B37">
    <cfRule type="containsText" dxfId="665" priority="566" operator="containsText" text="PERMISO CORTE">
      <formula>NOT(ISERROR(SEARCH("PERMISO CORTE",B37)))</formula>
    </cfRule>
    <cfRule type="containsText" dxfId="664" priority="564" operator="containsText" text="OTROS">
      <formula>NOT(ISERROR(SEARCH("OTROS",B37)))</formula>
    </cfRule>
    <cfRule type="containsText" dxfId="663" priority="565" operator="containsText" text="TRASLADO CARRETON">
      <formula>NOT(ISERROR(SEARCH("TRASLADO CARRETON",B37)))</formula>
    </cfRule>
  </conditionalFormatting>
  <conditionalFormatting sqref="B46">
    <cfRule type="containsText" dxfId="662" priority="545" operator="containsText" text="OTROS">
      <formula>NOT(ISERROR(SEARCH("OTROS",B46)))</formula>
    </cfRule>
    <cfRule type="containsText" dxfId="661" priority="547" operator="containsText" text="PERMISO CORTE">
      <formula>NOT(ISERROR(SEARCH("PERMISO CORTE",B46)))</formula>
    </cfRule>
    <cfRule type="containsText" dxfId="660" priority="546" operator="containsText" text="TRASLADO CARRETON">
      <formula>NOT(ISERROR(SEARCH("TRASLADO CARRETON",B46)))</formula>
    </cfRule>
  </conditionalFormatting>
  <conditionalFormatting sqref="B55">
    <cfRule type="containsText" dxfId="659" priority="528" operator="containsText" text="PERMISO CORTE">
      <formula>NOT(ISERROR(SEARCH("PERMISO CORTE",B55)))</formula>
    </cfRule>
    <cfRule type="containsText" dxfId="658" priority="527" operator="containsText" text="TRASLADO CARRETON">
      <formula>NOT(ISERROR(SEARCH("TRASLADO CARRETON",B55)))</formula>
    </cfRule>
    <cfRule type="containsText" dxfId="657" priority="526" operator="containsText" text="OTROS">
      <formula>NOT(ISERROR(SEARCH("OTROS",B55)))</formula>
    </cfRule>
  </conditionalFormatting>
  <conditionalFormatting sqref="B64">
    <cfRule type="containsText" dxfId="656" priority="509" operator="containsText" text="PERMISO CORTE">
      <formula>NOT(ISERROR(SEARCH("PERMISO CORTE",B64)))</formula>
    </cfRule>
    <cfRule type="containsText" dxfId="655" priority="507" operator="containsText" text="OTROS">
      <formula>NOT(ISERROR(SEARCH("OTROS",B64)))</formula>
    </cfRule>
    <cfRule type="containsText" dxfId="654" priority="508" operator="containsText" text="TRASLADO CARRETON">
      <formula>NOT(ISERROR(SEARCH("TRASLADO CARRETON",B64)))</formula>
    </cfRule>
  </conditionalFormatting>
  <conditionalFormatting sqref="B73">
    <cfRule type="containsText" dxfId="653" priority="490" operator="containsText" text="PERMISO CORTE">
      <formula>NOT(ISERROR(SEARCH("PERMISO CORTE",B73)))</formula>
    </cfRule>
    <cfRule type="containsText" dxfId="652" priority="488" operator="containsText" text="OTROS">
      <formula>NOT(ISERROR(SEARCH("OTROS",B73)))</formula>
    </cfRule>
    <cfRule type="containsText" dxfId="651" priority="489" operator="containsText" text="TRASLADO CARRETON">
      <formula>NOT(ISERROR(SEARCH("TRASLADO CARRETON",B73)))</formula>
    </cfRule>
  </conditionalFormatting>
  <conditionalFormatting sqref="B82">
    <cfRule type="containsText" dxfId="650" priority="470" operator="containsText" text="TRASLADO CARRETON">
      <formula>NOT(ISERROR(SEARCH("TRASLADO CARRETON",B82)))</formula>
    </cfRule>
    <cfRule type="containsText" dxfId="649" priority="471" operator="containsText" text="PERMISO CORTE">
      <formula>NOT(ISERROR(SEARCH("PERMISO CORTE",B82)))</formula>
    </cfRule>
    <cfRule type="containsText" dxfId="648" priority="469" operator="containsText" text="OTROS">
      <formula>NOT(ISERROR(SEARCH("OTROS",B82)))</formula>
    </cfRule>
  </conditionalFormatting>
  <conditionalFormatting sqref="B91">
    <cfRule type="containsText" dxfId="647" priority="452" operator="containsText" text="PERMISO CORTE">
      <formula>NOT(ISERROR(SEARCH("PERMISO CORTE",B91)))</formula>
    </cfRule>
    <cfRule type="containsText" dxfId="646" priority="451" operator="containsText" text="TRASLADO CARRETON">
      <formula>NOT(ISERROR(SEARCH("TRASLADO CARRETON",B91)))</formula>
    </cfRule>
    <cfRule type="containsText" dxfId="645" priority="450" operator="containsText" text="OTROS">
      <formula>NOT(ISERROR(SEARCH("OTROS",B91)))</formula>
    </cfRule>
  </conditionalFormatting>
  <conditionalFormatting sqref="B100">
    <cfRule type="containsText" dxfId="644" priority="432" operator="containsText" text="TRASLADO CARRETON">
      <formula>NOT(ISERROR(SEARCH("TRASLADO CARRETON",B100)))</formula>
    </cfRule>
    <cfRule type="containsText" dxfId="643" priority="431" operator="containsText" text="OTROS">
      <formula>NOT(ISERROR(SEARCH("OTROS",B100)))</formula>
    </cfRule>
    <cfRule type="containsText" dxfId="642" priority="433" operator="containsText" text="PERMISO CORTE">
      <formula>NOT(ISERROR(SEARCH("PERMISO CORTE",B100)))</formula>
    </cfRule>
  </conditionalFormatting>
  <conditionalFormatting sqref="B109">
    <cfRule type="containsText" dxfId="641" priority="412" operator="containsText" text="OTROS">
      <formula>NOT(ISERROR(SEARCH("OTROS",B109)))</formula>
    </cfRule>
    <cfRule type="containsText" dxfId="640" priority="413" operator="containsText" text="TRASLADO CARRETON">
      <formula>NOT(ISERROR(SEARCH("TRASLADO CARRETON",B109)))</formula>
    </cfRule>
    <cfRule type="containsText" dxfId="639" priority="414" operator="containsText" text="PERMISO CORTE">
      <formula>NOT(ISERROR(SEARCH("PERMISO CORTE",B109)))</formula>
    </cfRule>
  </conditionalFormatting>
  <conditionalFormatting sqref="B118">
    <cfRule type="containsText" dxfId="638" priority="394" operator="containsText" text="TRASLADO CARRETON">
      <formula>NOT(ISERROR(SEARCH("TRASLADO CARRETON",B118)))</formula>
    </cfRule>
    <cfRule type="containsText" dxfId="637" priority="393" operator="containsText" text="OTROS">
      <formula>NOT(ISERROR(SEARCH("OTROS",B118)))</formula>
    </cfRule>
    <cfRule type="containsText" dxfId="636" priority="395" operator="containsText" text="PERMISO CORTE">
      <formula>NOT(ISERROR(SEARCH("PERMISO CORTE",B118)))</formula>
    </cfRule>
  </conditionalFormatting>
  <conditionalFormatting sqref="B127">
    <cfRule type="containsText" dxfId="635" priority="375" operator="containsText" text="TRASLADO CARRETON">
      <formula>NOT(ISERROR(SEARCH("TRASLADO CARRETON",B127)))</formula>
    </cfRule>
    <cfRule type="containsText" dxfId="634" priority="374" operator="containsText" text="OTROS">
      <formula>NOT(ISERROR(SEARCH("OTROS",B127)))</formula>
    </cfRule>
    <cfRule type="containsText" dxfId="633" priority="376" operator="containsText" text="PERMISO CORTE">
      <formula>NOT(ISERROR(SEARCH("PERMISO CORTE",B127)))</formula>
    </cfRule>
  </conditionalFormatting>
  <conditionalFormatting sqref="B136">
    <cfRule type="containsText" dxfId="632" priority="355" operator="containsText" text="OTROS">
      <formula>NOT(ISERROR(SEARCH("OTROS",B136)))</formula>
    </cfRule>
    <cfRule type="containsText" dxfId="631" priority="356" operator="containsText" text="TRASLADO CARRETON">
      <formula>NOT(ISERROR(SEARCH("TRASLADO CARRETON",B136)))</formula>
    </cfRule>
    <cfRule type="containsText" dxfId="630" priority="357" operator="containsText" text="PERMISO CORTE">
      <formula>NOT(ISERROR(SEARCH("PERMISO CORTE",B136)))</formula>
    </cfRule>
  </conditionalFormatting>
  <conditionalFormatting sqref="B145">
    <cfRule type="containsText" dxfId="629" priority="337" operator="containsText" text="TRASLADO CARRETON">
      <formula>NOT(ISERROR(SEARCH("TRASLADO CARRETON",B145)))</formula>
    </cfRule>
    <cfRule type="containsText" dxfId="628" priority="338" operator="containsText" text="PERMISO CORTE">
      <formula>NOT(ISERROR(SEARCH("PERMISO CORTE",B145)))</formula>
    </cfRule>
    <cfRule type="containsText" dxfId="627" priority="336" operator="containsText" text="OTROS">
      <formula>NOT(ISERROR(SEARCH("OTROS",B145)))</formula>
    </cfRule>
  </conditionalFormatting>
  <conditionalFormatting sqref="B154">
    <cfRule type="containsText" dxfId="626" priority="319" operator="containsText" text="PERMISO CORTE">
      <formula>NOT(ISERROR(SEARCH("PERMISO CORTE",B154)))</formula>
    </cfRule>
    <cfRule type="containsText" dxfId="625" priority="318" operator="containsText" text="TRASLADO CARRETON">
      <formula>NOT(ISERROR(SEARCH("TRASLADO CARRETON",B154)))</formula>
    </cfRule>
    <cfRule type="containsText" dxfId="624" priority="317" operator="containsText" text="OTROS">
      <formula>NOT(ISERROR(SEARCH("OTROS",B154)))</formula>
    </cfRule>
  </conditionalFormatting>
  <conditionalFormatting sqref="B163">
    <cfRule type="containsText" dxfId="623" priority="298" operator="containsText" text="OTROS">
      <formula>NOT(ISERROR(SEARCH("OTROS",B163)))</formula>
    </cfRule>
    <cfRule type="containsText" dxfId="622" priority="299" operator="containsText" text="TRASLADO CARRETON">
      <formula>NOT(ISERROR(SEARCH("TRASLADO CARRETON",B163)))</formula>
    </cfRule>
    <cfRule type="containsText" dxfId="621" priority="300" operator="containsText" text="PERMISO CORTE">
      <formula>NOT(ISERROR(SEARCH("PERMISO CORTE",B163)))</formula>
    </cfRule>
  </conditionalFormatting>
  <conditionalFormatting sqref="B172">
    <cfRule type="containsText" dxfId="620" priority="279" operator="containsText" text="OTROS">
      <formula>NOT(ISERROR(SEARCH("OTROS",B172)))</formula>
    </cfRule>
    <cfRule type="containsText" dxfId="619" priority="281" operator="containsText" text="PERMISO CORTE">
      <formula>NOT(ISERROR(SEARCH("PERMISO CORTE",B172)))</formula>
    </cfRule>
    <cfRule type="containsText" dxfId="618" priority="280" operator="containsText" text="TRASLADO CARRETON">
      <formula>NOT(ISERROR(SEARCH("TRASLADO CARRETON",B172)))</formula>
    </cfRule>
  </conditionalFormatting>
  <conditionalFormatting sqref="B181">
    <cfRule type="containsText" dxfId="617" priority="262" operator="containsText" text="PERMISO CORTE">
      <formula>NOT(ISERROR(SEARCH("PERMISO CORTE",B181)))</formula>
    </cfRule>
    <cfRule type="containsText" dxfId="616" priority="260" operator="containsText" text="OTROS">
      <formula>NOT(ISERROR(SEARCH("OTROS",B181)))</formula>
    </cfRule>
    <cfRule type="containsText" dxfId="615" priority="261" operator="containsText" text="TRASLADO CARRETON">
      <formula>NOT(ISERROR(SEARCH("TRASLADO CARRETON",B181)))</formula>
    </cfRule>
  </conditionalFormatting>
  <conditionalFormatting sqref="B190">
    <cfRule type="containsText" dxfId="614" priority="243" operator="containsText" text="PERMISO CORTE">
      <formula>NOT(ISERROR(SEARCH("PERMISO CORTE",B190)))</formula>
    </cfRule>
    <cfRule type="containsText" dxfId="613" priority="241" operator="containsText" text="OTROS">
      <formula>NOT(ISERROR(SEARCH("OTROS",B190)))</formula>
    </cfRule>
    <cfRule type="containsText" dxfId="612" priority="242" operator="containsText" text="TRASLADO CARRETON">
      <formula>NOT(ISERROR(SEARCH("TRASLADO CARRETON",B190)))</formula>
    </cfRule>
  </conditionalFormatting>
  <conditionalFormatting sqref="B199">
    <cfRule type="containsText" dxfId="611" priority="223" operator="containsText" text="TRASLADO CARRETON">
      <formula>NOT(ISERROR(SEARCH("TRASLADO CARRETON",B199)))</formula>
    </cfRule>
    <cfRule type="containsText" dxfId="610" priority="224" operator="containsText" text="PERMISO CORTE">
      <formula>NOT(ISERROR(SEARCH("PERMISO CORTE",B199)))</formula>
    </cfRule>
    <cfRule type="containsText" dxfId="609" priority="222" operator="containsText" text="OTROS">
      <formula>NOT(ISERROR(SEARCH("OTROS",B199)))</formula>
    </cfRule>
  </conditionalFormatting>
  <conditionalFormatting sqref="B208">
    <cfRule type="containsText" dxfId="608" priority="203" operator="containsText" text="OTROS">
      <formula>NOT(ISERROR(SEARCH("OTROS",B208)))</formula>
    </cfRule>
    <cfRule type="containsText" dxfId="607" priority="204" operator="containsText" text="TRASLADO CARRETON">
      <formula>NOT(ISERROR(SEARCH("TRASLADO CARRETON",B208)))</formula>
    </cfRule>
    <cfRule type="containsText" dxfId="606" priority="205" operator="containsText" text="PERMISO CORTE">
      <formula>NOT(ISERROR(SEARCH("PERMISO CORTE",B208)))</formula>
    </cfRule>
  </conditionalFormatting>
  <conditionalFormatting sqref="B217">
    <cfRule type="containsText" dxfId="605" priority="186" operator="containsText" text="PERMISO CORTE">
      <formula>NOT(ISERROR(SEARCH("PERMISO CORTE",B217)))</formula>
    </cfRule>
    <cfRule type="containsText" dxfId="604" priority="185" operator="containsText" text="TRASLADO CARRETON">
      <formula>NOT(ISERROR(SEARCH("TRASLADO CARRETON",B217)))</formula>
    </cfRule>
    <cfRule type="containsText" dxfId="603" priority="184" operator="containsText" text="OTROS">
      <formula>NOT(ISERROR(SEARCH("OTROS",B217)))</formula>
    </cfRule>
  </conditionalFormatting>
  <conditionalFormatting sqref="B226">
    <cfRule type="containsText" dxfId="602" priority="167" operator="containsText" text="PERMISO CORTE">
      <formula>NOT(ISERROR(SEARCH("PERMISO CORTE",B226)))</formula>
    </cfRule>
    <cfRule type="containsText" dxfId="601" priority="166" operator="containsText" text="TRASLADO CARRETON">
      <formula>NOT(ISERROR(SEARCH("TRASLADO CARRETON",B226)))</formula>
    </cfRule>
    <cfRule type="containsText" dxfId="600" priority="165" operator="containsText" text="OTROS">
      <formula>NOT(ISERROR(SEARCH("OTROS",B226)))</formula>
    </cfRule>
  </conditionalFormatting>
  <conditionalFormatting sqref="B235">
    <cfRule type="containsText" dxfId="599" priority="147" operator="containsText" text="TRASLADO CARRETON">
      <formula>NOT(ISERROR(SEARCH("TRASLADO CARRETON",B235)))</formula>
    </cfRule>
    <cfRule type="containsText" dxfId="598" priority="148" operator="containsText" text="PERMISO CORTE">
      <formula>NOT(ISERROR(SEARCH("PERMISO CORTE",B235)))</formula>
    </cfRule>
    <cfRule type="containsText" dxfId="597" priority="146" operator="containsText" text="OTROS">
      <formula>NOT(ISERROR(SEARCH("OTROS",B235)))</formula>
    </cfRule>
  </conditionalFormatting>
  <conditionalFormatting sqref="B244">
    <cfRule type="containsText" dxfId="596" priority="127" operator="containsText" text="OTROS">
      <formula>NOT(ISERROR(SEARCH("OTROS",B244)))</formula>
    </cfRule>
    <cfRule type="containsText" dxfId="595" priority="129" operator="containsText" text="PERMISO CORTE">
      <formula>NOT(ISERROR(SEARCH("PERMISO CORTE",B244)))</formula>
    </cfRule>
    <cfRule type="containsText" dxfId="594" priority="128" operator="containsText" text="TRASLADO CARRETON">
      <formula>NOT(ISERROR(SEARCH("TRASLADO CARRETON",B244)))</formula>
    </cfRule>
  </conditionalFormatting>
  <conditionalFormatting sqref="B253">
    <cfRule type="containsText" dxfId="593" priority="108" operator="containsText" text="OTROS">
      <formula>NOT(ISERROR(SEARCH("OTROS",B253)))</formula>
    </cfRule>
    <cfRule type="containsText" dxfId="592" priority="110" operator="containsText" text="PERMISO CORTE">
      <formula>NOT(ISERROR(SEARCH("PERMISO CORTE",B253)))</formula>
    </cfRule>
    <cfRule type="containsText" dxfId="591" priority="109" operator="containsText" text="TRASLADO CARRETON">
      <formula>NOT(ISERROR(SEARCH("TRASLADO CARRETON",B253)))</formula>
    </cfRule>
  </conditionalFormatting>
  <conditionalFormatting sqref="B262">
    <cfRule type="containsText" dxfId="590" priority="90" operator="containsText" text="TRASLADO CARRETON">
      <formula>NOT(ISERROR(SEARCH("TRASLADO CARRETON",B262)))</formula>
    </cfRule>
    <cfRule type="containsText" dxfId="589" priority="89" operator="containsText" text="OTROS">
      <formula>NOT(ISERROR(SEARCH("OTROS",B262)))</formula>
    </cfRule>
    <cfRule type="containsText" dxfId="588" priority="91" operator="containsText" text="PERMISO CORTE">
      <formula>NOT(ISERROR(SEARCH("PERMISO CORTE",B262)))</formula>
    </cfRule>
  </conditionalFormatting>
  <conditionalFormatting sqref="B271">
    <cfRule type="containsText" dxfId="587" priority="72" operator="containsText" text="PERMISO CORTE">
      <formula>NOT(ISERROR(SEARCH("PERMISO CORTE",B271)))</formula>
    </cfRule>
    <cfRule type="containsText" dxfId="586" priority="71" operator="containsText" text="TRASLADO CARRETON">
      <formula>NOT(ISERROR(SEARCH("TRASLADO CARRETON",B271)))</formula>
    </cfRule>
    <cfRule type="containsText" dxfId="585" priority="70" operator="containsText" text="OTROS">
      <formula>NOT(ISERROR(SEARCH("OTROS",B271)))</formula>
    </cfRule>
  </conditionalFormatting>
  <conditionalFormatting sqref="B280">
    <cfRule type="containsText" dxfId="584" priority="53" operator="containsText" text="PERMISO CORTE">
      <formula>NOT(ISERROR(SEARCH("PERMISO CORTE",B280)))</formula>
    </cfRule>
    <cfRule type="containsText" dxfId="583" priority="52" operator="containsText" text="TRASLADO CARRETON">
      <formula>NOT(ISERROR(SEARCH("TRASLADO CARRETON",B280)))</formula>
    </cfRule>
    <cfRule type="containsText" dxfId="582" priority="51" operator="containsText" text="OTROS">
      <formula>NOT(ISERROR(SEARCH("OTROS",B280)))</formula>
    </cfRule>
  </conditionalFormatting>
  <conditionalFormatting sqref="B289">
    <cfRule type="containsText" dxfId="581" priority="34" operator="containsText" text="PERMISO CORTE">
      <formula>NOT(ISERROR(SEARCH("PERMISO CORTE",B289)))</formula>
    </cfRule>
    <cfRule type="containsText" dxfId="580" priority="33" operator="containsText" text="TRASLADO CARRETON">
      <formula>NOT(ISERROR(SEARCH("TRASLADO CARRETON",B289)))</formula>
    </cfRule>
    <cfRule type="containsText" dxfId="579" priority="32" operator="containsText" text="OTROS">
      <formula>NOT(ISERROR(SEARCH("OTROS",B289)))</formula>
    </cfRule>
  </conditionalFormatting>
  <conditionalFormatting sqref="B298">
    <cfRule type="containsText" dxfId="578" priority="13" operator="containsText" text="OTROS">
      <formula>NOT(ISERROR(SEARCH("OTROS",B298)))</formula>
    </cfRule>
    <cfRule type="containsText" dxfId="577" priority="14" operator="containsText" text="TRASLADO CARRETON">
      <formula>NOT(ISERROR(SEARCH("TRASLADO CARRETON",B298)))</formula>
    </cfRule>
    <cfRule type="containsText" dxfId="576" priority="15" operator="containsText" text="PERMISO CORTE">
      <formula>NOT(ISERROR(SEARCH("PERMISO CORTE",B298)))</formula>
    </cfRule>
  </conditionalFormatting>
  <conditionalFormatting sqref="H10:L10">
    <cfRule type="cellIs" dxfId="575" priority="3758" operator="equal">
      <formula>"estado"</formula>
    </cfRule>
    <cfRule type="cellIs" dxfId="574" priority="3761" operator="equal">
      <formula>"en ejecucion"</formula>
    </cfRule>
    <cfRule type="cellIs" dxfId="573" priority="3759" operator="equal">
      <formula>"finalizado"</formula>
    </cfRule>
    <cfRule type="cellIs" dxfId="572" priority="3760" operator="equal">
      <formula>"a confirmar"</formula>
    </cfRule>
  </conditionalFormatting>
  <conditionalFormatting sqref="H19:L19">
    <cfRule type="cellIs" dxfId="571" priority="607" operator="equal">
      <formula>"a confirmar"</formula>
    </cfRule>
    <cfRule type="cellIs" dxfId="570" priority="606" operator="equal">
      <formula>"finalizado"</formula>
    </cfRule>
    <cfRule type="cellIs" dxfId="569" priority="605" operator="equal">
      <formula>"estado"</formula>
    </cfRule>
    <cfRule type="cellIs" dxfId="568" priority="608" operator="equal">
      <formula>"en ejecucion"</formula>
    </cfRule>
  </conditionalFormatting>
  <conditionalFormatting sqref="H28:L28">
    <cfRule type="cellIs" dxfId="567" priority="586" operator="equal">
      <formula>"estado"</formula>
    </cfRule>
    <cfRule type="cellIs" dxfId="566" priority="587" operator="equal">
      <formula>"finalizado"</formula>
    </cfRule>
    <cfRule type="cellIs" dxfId="565" priority="588" operator="equal">
      <formula>"a confirmar"</formula>
    </cfRule>
    <cfRule type="cellIs" dxfId="564" priority="589" operator="equal">
      <formula>"en ejecucion"</formula>
    </cfRule>
  </conditionalFormatting>
  <conditionalFormatting sqref="H37:L37">
    <cfRule type="cellIs" dxfId="563" priority="568" operator="equal">
      <formula>"finalizado"</formula>
    </cfRule>
    <cfRule type="cellIs" dxfId="562" priority="569" operator="equal">
      <formula>"a confirmar"</formula>
    </cfRule>
    <cfRule type="cellIs" dxfId="561" priority="570" operator="equal">
      <formula>"en ejecucion"</formula>
    </cfRule>
    <cfRule type="cellIs" dxfId="560" priority="567" operator="equal">
      <formula>"estado"</formula>
    </cfRule>
  </conditionalFormatting>
  <conditionalFormatting sqref="H46:L46">
    <cfRule type="cellIs" dxfId="559" priority="551" operator="equal">
      <formula>"en ejecucion"</formula>
    </cfRule>
    <cfRule type="cellIs" dxfId="558" priority="549" operator="equal">
      <formula>"finalizado"</formula>
    </cfRule>
    <cfRule type="cellIs" dxfId="557" priority="550" operator="equal">
      <formula>"a confirmar"</formula>
    </cfRule>
    <cfRule type="cellIs" dxfId="556" priority="548" operator="equal">
      <formula>"estado"</formula>
    </cfRule>
  </conditionalFormatting>
  <conditionalFormatting sqref="H55:L55">
    <cfRule type="cellIs" dxfId="555" priority="529" operator="equal">
      <formula>"estado"</formula>
    </cfRule>
    <cfRule type="cellIs" dxfId="554" priority="530" operator="equal">
      <formula>"finalizado"</formula>
    </cfRule>
    <cfRule type="cellIs" dxfId="553" priority="531" operator="equal">
      <formula>"a confirmar"</formula>
    </cfRule>
    <cfRule type="cellIs" dxfId="552" priority="532" operator="equal">
      <formula>"en ejecucion"</formula>
    </cfRule>
  </conditionalFormatting>
  <conditionalFormatting sqref="H64:L64">
    <cfRule type="cellIs" dxfId="551" priority="512" operator="equal">
      <formula>"a confirmar"</formula>
    </cfRule>
    <cfRule type="cellIs" dxfId="550" priority="513" operator="equal">
      <formula>"en ejecucion"</formula>
    </cfRule>
    <cfRule type="cellIs" dxfId="549" priority="511" operator="equal">
      <formula>"finalizado"</formula>
    </cfRule>
    <cfRule type="cellIs" dxfId="548" priority="510" operator="equal">
      <formula>"estado"</formula>
    </cfRule>
  </conditionalFormatting>
  <conditionalFormatting sqref="H73:L73">
    <cfRule type="cellIs" dxfId="547" priority="492" operator="equal">
      <formula>"finalizado"</formula>
    </cfRule>
    <cfRule type="cellIs" dxfId="546" priority="493" operator="equal">
      <formula>"a confirmar"</formula>
    </cfRule>
    <cfRule type="cellIs" dxfId="545" priority="494" operator="equal">
      <formula>"en ejecucion"</formula>
    </cfRule>
    <cfRule type="cellIs" dxfId="544" priority="491" operator="equal">
      <formula>"estado"</formula>
    </cfRule>
  </conditionalFormatting>
  <conditionalFormatting sqref="H82:L82">
    <cfRule type="cellIs" dxfId="543" priority="475" operator="equal">
      <formula>"en ejecucion"</formula>
    </cfRule>
    <cfRule type="cellIs" dxfId="542" priority="474" operator="equal">
      <formula>"a confirmar"</formula>
    </cfRule>
    <cfRule type="cellIs" dxfId="541" priority="473" operator="equal">
      <formula>"finalizado"</formula>
    </cfRule>
    <cfRule type="cellIs" dxfId="540" priority="472" operator="equal">
      <formula>"estado"</formula>
    </cfRule>
  </conditionalFormatting>
  <conditionalFormatting sqref="H91:L91">
    <cfRule type="cellIs" dxfId="539" priority="453" operator="equal">
      <formula>"estado"</formula>
    </cfRule>
    <cfRule type="cellIs" dxfId="538" priority="454" operator="equal">
      <formula>"finalizado"</formula>
    </cfRule>
    <cfRule type="cellIs" dxfId="537" priority="455" operator="equal">
      <formula>"a confirmar"</formula>
    </cfRule>
    <cfRule type="cellIs" dxfId="536" priority="456" operator="equal">
      <formula>"en ejecucion"</formula>
    </cfRule>
  </conditionalFormatting>
  <conditionalFormatting sqref="H100:L100">
    <cfRule type="cellIs" dxfId="535" priority="435" operator="equal">
      <formula>"finalizado"</formula>
    </cfRule>
    <cfRule type="cellIs" dxfId="534" priority="436" operator="equal">
      <formula>"a confirmar"</formula>
    </cfRule>
    <cfRule type="cellIs" dxfId="533" priority="437" operator="equal">
      <formula>"en ejecucion"</formula>
    </cfRule>
    <cfRule type="cellIs" dxfId="532" priority="434" operator="equal">
      <formula>"estado"</formula>
    </cfRule>
  </conditionalFormatting>
  <conditionalFormatting sqref="H109:L109">
    <cfRule type="cellIs" dxfId="531" priority="416" operator="equal">
      <formula>"finalizado"</formula>
    </cfRule>
    <cfRule type="cellIs" dxfId="530" priority="415" operator="equal">
      <formula>"estado"</formula>
    </cfRule>
    <cfRule type="cellIs" dxfId="529" priority="417" operator="equal">
      <formula>"a confirmar"</formula>
    </cfRule>
    <cfRule type="cellIs" dxfId="528" priority="418" operator="equal">
      <formula>"en ejecucion"</formula>
    </cfRule>
  </conditionalFormatting>
  <conditionalFormatting sqref="H118:L118">
    <cfRule type="cellIs" dxfId="527" priority="396" operator="equal">
      <formula>"estado"</formula>
    </cfRule>
    <cfRule type="cellIs" dxfId="526" priority="397" operator="equal">
      <formula>"finalizado"</formula>
    </cfRule>
    <cfRule type="cellIs" dxfId="525" priority="398" operator="equal">
      <formula>"a confirmar"</formula>
    </cfRule>
    <cfRule type="cellIs" dxfId="524" priority="399" operator="equal">
      <formula>"en ejecucion"</formula>
    </cfRule>
  </conditionalFormatting>
  <conditionalFormatting sqref="H127:L127">
    <cfRule type="cellIs" dxfId="523" priority="378" operator="equal">
      <formula>"finalizado"</formula>
    </cfRule>
    <cfRule type="cellIs" dxfId="522" priority="380" operator="equal">
      <formula>"en ejecucion"</formula>
    </cfRule>
    <cfRule type="cellIs" dxfId="521" priority="379" operator="equal">
      <formula>"a confirmar"</formula>
    </cfRule>
    <cfRule type="cellIs" dxfId="520" priority="377" operator="equal">
      <formula>"estado"</formula>
    </cfRule>
  </conditionalFormatting>
  <conditionalFormatting sqref="H136:L136">
    <cfRule type="cellIs" dxfId="519" priority="359" operator="equal">
      <formula>"finalizado"</formula>
    </cfRule>
    <cfRule type="cellIs" dxfId="518" priority="358" operator="equal">
      <formula>"estado"</formula>
    </cfRule>
    <cfRule type="cellIs" dxfId="517" priority="360" operator="equal">
      <formula>"a confirmar"</formula>
    </cfRule>
    <cfRule type="cellIs" dxfId="516" priority="361" operator="equal">
      <formula>"en ejecucion"</formula>
    </cfRule>
  </conditionalFormatting>
  <conditionalFormatting sqref="H145:L145">
    <cfRule type="cellIs" dxfId="515" priority="339" operator="equal">
      <formula>"estado"</formula>
    </cfRule>
    <cfRule type="cellIs" dxfId="514" priority="342" operator="equal">
      <formula>"en ejecucion"</formula>
    </cfRule>
    <cfRule type="cellIs" dxfId="513" priority="341" operator="equal">
      <formula>"a confirmar"</formula>
    </cfRule>
    <cfRule type="cellIs" dxfId="512" priority="340" operator="equal">
      <formula>"finalizado"</formula>
    </cfRule>
  </conditionalFormatting>
  <conditionalFormatting sqref="H154:L154">
    <cfRule type="cellIs" dxfId="511" priority="321" operator="equal">
      <formula>"finalizado"</formula>
    </cfRule>
    <cfRule type="cellIs" dxfId="510" priority="323" operator="equal">
      <formula>"en ejecucion"</formula>
    </cfRule>
    <cfRule type="cellIs" dxfId="509" priority="320" operator="equal">
      <formula>"estado"</formula>
    </cfRule>
    <cfRule type="cellIs" dxfId="508" priority="322" operator="equal">
      <formula>"a confirmar"</formula>
    </cfRule>
  </conditionalFormatting>
  <conditionalFormatting sqref="H163:L163">
    <cfRule type="cellIs" dxfId="507" priority="304" operator="equal">
      <formula>"en ejecucion"</formula>
    </cfRule>
    <cfRule type="cellIs" dxfId="506" priority="303" operator="equal">
      <formula>"a confirmar"</formula>
    </cfRule>
    <cfRule type="cellIs" dxfId="505" priority="301" operator="equal">
      <formula>"estado"</formula>
    </cfRule>
    <cfRule type="cellIs" dxfId="504" priority="302" operator="equal">
      <formula>"finalizado"</formula>
    </cfRule>
  </conditionalFormatting>
  <conditionalFormatting sqref="H172:L172">
    <cfRule type="cellIs" dxfId="503" priority="285" operator="equal">
      <formula>"en ejecucion"</formula>
    </cfRule>
    <cfRule type="cellIs" dxfId="502" priority="282" operator="equal">
      <formula>"estado"</formula>
    </cfRule>
    <cfRule type="cellIs" dxfId="501" priority="284" operator="equal">
      <formula>"a confirmar"</formula>
    </cfRule>
    <cfRule type="cellIs" dxfId="500" priority="283" operator="equal">
      <formula>"finalizado"</formula>
    </cfRule>
  </conditionalFormatting>
  <conditionalFormatting sqref="H181:L181">
    <cfRule type="cellIs" dxfId="499" priority="264" operator="equal">
      <formula>"finalizado"</formula>
    </cfRule>
    <cfRule type="cellIs" dxfId="498" priority="263" operator="equal">
      <formula>"estado"</formula>
    </cfRule>
    <cfRule type="cellIs" dxfId="497" priority="266" operator="equal">
      <formula>"en ejecucion"</formula>
    </cfRule>
    <cfRule type="cellIs" dxfId="496" priority="265" operator="equal">
      <formula>"a confirmar"</formula>
    </cfRule>
  </conditionalFormatting>
  <conditionalFormatting sqref="H190:L190">
    <cfRule type="cellIs" dxfId="495" priority="245" operator="equal">
      <formula>"finalizado"</formula>
    </cfRule>
    <cfRule type="cellIs" dxfId="494" priority="246" operator="equal">
      <formula>"a confirmar"</formula>
    </cfRule>
    <cfRule type="cellIs" dxfId="493" priority="247" operator="equal">
      <formula>"en ejecucion"</formula>
    </cfRule>
    <cfRule type="cellIs" dxfId="492" priority="244" operator="equal">
      <formula>"estado"</formula>
    </cfRule>
  </conditionalFormatting>
  <conditionalFormatting sqref="H199:L199">
    <cfRule type="cellIs" dxfId="491" priority="225" operator="equal">
      <formula>"estado"</formula>
    </cfRule>
    <cfRule type="cellIs" dxfId="490" priority="226" operator="equal">
      <formula>"finalizado"</formula>
    </cfRule>
    <cfRule type="cellIs" dxfId="489" priority="228" operator="equal">
      <formula>"en ejecucion"</formula>
    </cfRule>
    <cfRule type="cellIs" dxfId="488" priority="227" operator="equal">
      <formula>"a confirmar"</formula>
    </cfRule>
  </conditionalFormatting>
  <conditionalFormatting sqref="H208:L208">
    <cfRule type="cellIs" dxfId="487" priority="208" operator="equal">
      <formula>"a confirmar"</formula>
    </cfRule>
    <cfRule type="cellIs" dxfId="486" priority="207" operator="equal">
      <formula>"finalizado"</formula>
    </cfRule>
    <cfRule type="cellIs" dxfId="485" priority="206" operator="equal">
      <formula>"estado"</formula>
    </cfRule>
    <cfRule type="cellIs" dxfId="484" priority="209" operator="equal">
      <formula>"en ejecucion"</formula>
    </cfRule>
  </conditionalFormatting>
  <conditionalFormatting sqref="H217:L217">
    <cfRule type="cellIs" dxfId="483" priority="188" operator="equal">
      <formula>"finalizado"</formula>
    </cfRule>
    <cfRule type="cellIs" dxfId="482" priority="189" operator="equal">
      <formula>"a confirmar"</formula>
    </cfRule>
    <cfRule type="cellIs" dxfId="481" priority="190" operator="equal">
      <formula>"en ejecucion"</formula>
    </cfRule>
    <cfRule type="cellIs" dxfId="480" priority="187" operator="equal">
      <formula>"estado"</formula>
    </cfRule>
  </conditionalFormatting>
  <conditionalFormatting sqref="H226:L226">
    <cfRule type="cellIs" dxfId="479" priority="169" operator="equal">
      <formula>"finalizado"</formula>
    </cfRule>
    <cfRule type="cellIs" dxfId="478" priority="168" operator="equal">
      <formula>"estado"</formula>
    </cfRule>
    <cfRule type="cellIs" dxfId="477" priority="170" operator="equal">
      <formula>"a confirmar"</formula>
    </cfRule>
    <cfRule type="cellIs" dxfId="476" priority="171" operator="equal">
      <formula>"en ejecucion"</formula>
    </cfRule>
  </conditionalFormatting>
  <conditionalFormatting sqref="H235:L235">
    <cfRule type="cellIs" dxfId="475" priority="149" operator="equal">
      <formula>"estado"</formula>
    </cfRule>
    <cfRule type="cellIs" dxfId="474" priority="152" operator="equal">
      <formula>"en ejecucion"</formula>
    </cfRule>
    <cfRule type="cellIs" dxfId="473" priority="151" operator="equal">
      <formula>"a confirmar"</formula>
    </cfRule>
    <cfRule type="cellIs" dxfId="472" priority="150" operator="equal">
      <formula>"finalizado"</formula>
    </cfRule>
  </conditionalFormatting>
  <conditionalFormatting sqref="H244:L244">
    <cfRule type="cellIs" dxfId="471" priority="130" operator="equal">
      <formula>"estado"</formula>
    </cfRule>
    <cfRule type="cellIs" dxfId="470" priority="131" operator="equal">
      <formula>"finalizado"</formula>
    </cfRule>
    <cfRule type="cellIs" dxfId="469" priority="132" operator="equal">
      <formula>"a confirmar"</formula>
    </cfRule>
    <cfRule type="cellIs" dxfId="468" priority="133" operator="equal">
      <formula>"en ejecucion"</formula>
    </cfRule>
  </conditionalFormatting>
  <conditionalFormatting sqref="H253:L253">
    <cfRule type="cellIs" dxfId="467" priority="111" operator="equal">
      <formula>"estado"</formula>
    </cfRule>
    <cfRule type="cellIs" dxfId="466" priority="112" operator="equal">
      <formula>"finalizado"</formula>
    </cfRule>
    <cfRule type="cellIs" dxfId="465" priority="114" operator="equal">
      <formula>"en ejecucion"</formula>
    </cfRule>
    <cfRule type="cellIs" dxfId="464" priority="113" operator="equal">
      <formula>"a confirmar"</formula>
    </cfRule>
  </conditionalFormatting>
  <conditionalFormatting sqref="H262:L262">
    <cfRule type="cellIs" dxfId="463" priority="94" operator="equal">
      <formula>"a confirmar"</formula>
    </cfRule>
    <cfRule type="cellIs" dxfId="462" priority="95" operator="equal">
      <formula>"en ejecucion"</formula>
    </cfRule>
    <cfRule type="cellIs" dxfId="461" priority="93" operator="equal">
      <formula>"finalizado"</formula>
    </cfRule>
    <cfRule type="cellIs" dxfId="460" priority="92" operator="equal">
      <formula>"estado"</formula>
    </cfRule>
  </conditionalFormatting>
  <conditionalFormatting sqref="H271:L271">
    <cfRule type="cellIs" dxfId="459" priority="76" operator="equal">
      <formula>"en ejecucion"</formula>
    </cfRule>
    <cfRule type="cellIs" dxfId="458" priority="75" operator="equal">
      <formula>"a confirmar"</formula>
    </cfRule>
    <cfRule type="cellIs" dxfId="457" priority="74" operator="equal">
      <formula>"finalizado"</formula>
    </cfRule>
    <cfRule type="cellIs" dxfId="456" priority="73" operator="equal">
      <formula>"estado"</formula>
    </cfRule>
  </conditionalFormatting>
  <conditionalFormatting sqref="H280:L280">
    <cfRule type="cellIs" dxfId="455" priority="57" operator="equal">
      <formula>"en ejecucion"</formula>
    </cfRule>
    <cfRule type="cellIs" dxfId="454" priority="56" operator="equal">
      <formula>"a confirmar"</formula>
    </cfRule>
    <cfRule type="cellIs" dxfId="453" priority="55" operator="equal">
      <formula>"finalizado"</formula>
    </cfRule>
    <cfRule type="cellIs" dxfId="452" priority="54" operator="equal">
      <formula>"estado"</formula>
    </cfRule>
  </conditionalFormatting>
  <conditionalFormatting sqref="H289:L289">
    <cfRule type="cellIs" dxfId="451" priority="35" operator="equal">
      <formula>"estado"</formula>
    </cfRule>
    <cfRule type="cellIs" dxfId="450" priority="38" operator="equal">
      <formula>"en ejecucion"</formula>
    </cfRule>
    <cfRule type="cellIs" dxfId="449" priority="37" operator="equal">
      <formula>"a confirmar"</formula>
    </cfRule>
    <cfRule type="cellIs" dxfId="448" priority="36" operator="equal">
      <formula>"finalizado"</formula>
    </cfRule>
  </conditionalFormatting>
  <conditionalFormatting sqref="H298:L298">
    <cfRule type="cellIs" dxfId="447" priority="18" operator="equal">
      <formula>"a confirmar"</formula>
    </cfRule>
    <cfRule type="cellIs" dxfId="446" priority="19" operator="equal">
      <formula>"en ejecucion"</formula>
    </cfRule>
    <cfRule type="cellIs" dxfId="445" priority="16" operator="equal">
      <formula>"estado"</formula>
    </cfRule>
    <cfRule type="cellIs" dxfId="444" priority="17" operator="equal">
      <formula>"finalizado"</formula>
    </cfRule>
  </conditionalFormatting>
  <conditionalFormatting sqref="H308:L308">
    <cfRule type="cellIs" dxfId="443" priority="3297" operator="equal">
      <formula>"en ejecucion"</formula>
    </cfRule>
    <cfRule type="cellIs" dxfId="442" priority="3295" operator="equal">
      <formula>"finalizado"</formula>
    </cfRule>
    <cfRule type="cellIs" dxfId="441" priority="3294" operator="equal">
      <formula>"estado"</formula>
    </cfRule>
    <cfRule type="cellIs" dxfId="440" priority="3296" operator="equal">
      <formula>"a confirmar"</formula>
    </cfRule>
  </conditionalFormatting>
  <conditionalFormatting sqref="H318:L318">
    <cfRule type="cellIs" dxfId="439" priority="1681" operator="equal">
      <formula>"en ejecucion"</formula>
    </cfRule>
    <cfRule type="cellIs" dxfId="438" priority="1678" operator="equal">
      <formula>"estado"</formula>
    </cfRule>
    <cfRule type="cellIs" dxfId="437" priority="1679" operator="equal">
      <formula>"finalizado"</formula>
    </cfRule>
    <cfRule type="cellIs" dxfId="436" priority="1680" operator="equal">
      <formula>"a confirmar"</formula>
    </cfRule>
  </conditionalFormatting>
  <conditionalFormatting sqref="H328:L328">
    <cfRule type="cellIs" dxfId="435" priority="1662" operator="equal">
      <formula>"estado"</formula>
    </cfRule>
    <cfRule type="cellIs" dxfId="434" priority="1663" operator="equal">
      <formula>"finalizado"</formula>
    </cfRule>
    <cfRule type="cellIs" dxfId="433" priority="1664" operator="equal">
      <formula>"a confirmar"</formula>
    </cfRule>
    <cfRule type="cellIs" dxfId="432" priority="1665" operator="equal">
      <formula>"en ejecucion"</formula>
    </cfRule>
  </conditionalFormatting>
  <conditionalFormatting sqref="H338:L338">
    <cfRule type="cellIs" dxfId="431" priority="1646" operator="equal">
      <formula>"estado"</formula>
    </cfRule>
    <cfRule type="cellIs" dxfId="430" priority="1647" operator="equal">
      <formula>"finalizado"</formula>
    </cfRule>
    <cfRule type="cellIs" dxfId="429" priority="1648" operator="equal">
      <formula>"a confirmar"</formula>
    </cfRule>
    <cfRule type="cellIs" dxfId="428" priority="1649" operator="equal">
      <formula>"en ejecucion"</formula>
    </cfRule>
  </conditionalFormatting>
  <conditionalFormatting sqref="H348:L348">
    <cfRule type="cellIs" dxfId="427" priority="1630" operator="equal">
      <formula>"estado"</formula>
    </cfRule>
    <cfRule type="cellIs" dxfId="426" priority="1632" operator="equal">
      <formula>"a confirmar"</formula>
    </cfRule>
    <cfRule type="cellIs" dxfId="425" priority="1633" operator="equal">
      <formula>"en ejecucion"</formula>
    </cfRule>
    <cfRule type="cellIs" dxfId="424" priority="1631" operator="equal">
      <formula>"finalizado"</formula>
    </cfRule>
  </conditionalFormatting>
  <conditionalFormatting sqref="H358:L358">
    <cfRule type="cellIs" dxfId="423" priority="1616" operator="equal">
      <formula>"a confirmar"</formula>
    </cfRule>
    <cfRule type="cellIs" dxfId="422" priority="1615" operator="equal">
      <formula>"finalizado"</formula>
    </cfRule>
    <cfRule type="cellIs" dxfId="421" priority="1614" operator="equal">
      <formula>"estado"</formula>
    </cfRule>
    <cfRule type="cellIs" dxfId="420" priority="1617" operator="equal">
      <formula>"en ejecucion"</formula>
    </cfRule>
  </conditionalFormatting>
  <conditionalFormatting sqref="H368:L368">
    <cfRule type="cellIs" dxfId="419" priority="1600" operator="equal">
      <formula>"a confirmar"</formula>
    </cfRule>
    <cfRule type="cellIs" dxfId="418" priority="1601" operator="equal">
      <formula>"en ejecucion"</formula>
    </cfRule>
    <cfRule type="cellIs" dxfId="417" priority="1598" operator="equal">
      <formula>"estado"</formula>
    </cfRule>
    <cfRule type="cellIs" dxfId="416" priority="1599" operator="equal">
      <formula>"finalizado"</formula>
    </cfRule>
  </conditionalFormatting>
  <conditionalFormatting sqref="H378:L378">
    <cfRule type="cellIs" dxfId="415" priority="1582" operator="equal">
      <formula>"estado"</formula>
    </cfRule>
    <cfRule type="cellIs" dxfId="414" priority="1585" operator="equal">
      <formula>"en ejecucion"</formula>
    </cfRule>
    <cfRule type="cellIs" dxfId="413" priority="1584" operator="equal">
      <formula>"a confirmar"</formula>
    </cfRule>
    <cfRule type="cellIs" dxfId="412" priority="1583" operator="equal">
      <formula>"finalizado"</formula>
    </cfRule>
  </conditionalFormatting>
  <conditionalFormatting sqref="H388:L388">
    <cfRule type="cellIs" dxfId="411" priority="1569" operator="equal">
      <formula>"en ejecucion"</formula>
    </cfRule>
    <cfRule type="cellIs" dxfId="410" priority="1568" operator="equal">
      <formula>"a confirmar"</formula>
    </cfRule>
    <cfRule type="cellIs" dxfId="409" priority="1567" operator="equal">
      <formula>"finalizado"</formula>
    </cfRule>
    <cfRule type="cellIs" dxfId="408" priority="1566" operator="equal">
      <formula>"estado"</formula>
    </cfRule>
  </conditionalFormatting>
  <conditionalFormatting sqref="H398:L398">
    <cfRule type="cellIs" dxfId="407" priority="1553" operator="equal">
      <formula>"en ejecucion"</formula>
    </cfRule>
    <cfRule type="cellIs" dxfId="406" priority="1552" operator="equal">
      <formula>"a confirmar"</formula>
    </cfRule>
    <cfRule type="cellIs" dxfId="405" priority="1551" operator="equal">
      <formula>"finalizado"</formula>
    </cfRule>
    <cfRule type="cellIs" dxfId="404" priority="1550" operator="equal">
      <formula>"estado"</formula>
    </cfRule>
  </conditionalFormatting>
  <conditionalFormatting sqref="H408:L408">
    <cfRule type="cellIs" dxfId="403" priority="1537" operator="equal">
      <formula>"en ejecucion"</formula>
    </cfRule>
    <cfRule type="cellIs" dxfId="402" priority="1536" operator="equal">
      <formula>"a confirmar"</formula>
    </cfRule>
    <cfRule type="cellIs" dxfId="401" priority="1534" operator="equal">
      <formula>"estado"</formula>
    </cfRule>
    <cfRule type="cellIs" dxfId="400" priority="1535" operator="equal">
      <formula>"finalizado"</formula>
    </cfRule>
  </conditionalFormatting>
  <conditionalFormatting sqref="H418:L418">
    <cfRule type="cellIs" dxfId="399" priority="1521" operator="equal">
      <formula>"en ejecucion"</formula>
    </cfRule>
    <cfRule type="cellIs" dxfId="398" priority="1518" operator="equal">
      <formula>"estado"</formula>
    </cfRule>
    <cfRule type="cellIs" dxfId="397" priority="1520" operator="equal">
      <formula>"a confirmar"</formula>
    </cfRule>
    <cfRule type="cellIs" dxfId="396" priority="1519" operator="equal">
      <formula>"finalizado"</formula>
    </cfRule>
  </conditionalFormatting>
  <conditionalFormatting sqref="R10:V10">
    <cfRule type="cellIs" dxfId="395" priority="619" operator="equal">
      <formula>"a confirmar"</formula>
    </cfRule>
    <cfRule type="cellIs" dxfId="394" priority="620" operator="equal">
      <formula>"en ejecucion"</formula>
    </cfRule>
    <cfRule type="cellIs" dxfId="393" priority="618" operator="equal">
      <formula>"finalizado"</formula>
    </cfRule>
    <cfRule type="cellIs" dxfId="392" priority="617" operator="equal">
      <formula>"estado"</formula>
    </cfRule>
  </conditionalFormatting>
  <conditionalFormatting sqref="R19:V19">
    <cfRule type="cellIs" dxfId="391" priority="598" operator="equal">
      <formula>"estado"</formula>
    </cfRule>
    <cfRule type="cellIs" dxfId="390" priority="599" operator="equal">
      <formula>"finalizado"</formula>
    </cfRule>
    <cfRule type="cellIs" dxfId="389" priority="601" operator="equal">
      <formula>"en ejecucion"</formula>
    </cfRule>
    <cfRule type="cellIs" dxfId="388" priority="600" operator="equal">
      <formula>"a confirmar"</formula>
    </cfRule>
  </conditionalFormatting>
  <conditionalFormatting sqref="R28:V28">
    <cfRule type="cellIs" dxfId="387" priority="579" operator="equal">
      <formula>"estado"</formula>
    </cfRule>
    <cfRule type="cellIs" dxfId="386" priority="580" operator="equal">
      <formula>"finalizado"</formula>
    </cfRule>
    <cfRule type="cellIs" dxfId="385" priority="581" operator="equal">
      <formula>"a confirmar"</formula>
    </cfRule>
    <cfRule type="cellIs" dxfId="384" priority="582" operator="equal">
      <formula>"en ejecucion"</formula>
    </cfRule>
  </conditionalFormatting>
  <conditionalFormatting sqref="R37:V37">
    <cfRule type="cellIs" dxfId="383" priority="561" operator="equal">
      <formula>"finalizado"</formula>
    </cfRule>
    <cfRule type="cellIs" dxfId="382" priority="563" operator="equal">
      <formula>"en ejecucion"</formula>
    </cfRule>
    <cfRule type="cellIs" dxfId="381" priority="562" operator="equal">
      <formula>"a confirmar"</formula>
    </cfRule>
    <cfRule type="cellIs" dxfId="380" priority="560" operator="equal">
      <formula>"estado"</formula>
    </cfRule>
  </conditionalFormatting>
  <conditionalFormatting sqref="R46:V46">
    <cfRule type="cellIs" dxfId="379" priority="544" operator="equal">
      <formula>"en ejecucion"</formula>
    </cfRule>
    <cfRule type="cellIs" dxfId="378" priority="542" operator="equal">
      <formula>"finalizado"</formula>
    </cfRule>
    <cfRule type="cellIs" dxfId="377" priority="543" operator="equal">
      <formula>"a confirmar"</formula>
    </cfRule>
    <cfRule type="cellIs" dxfId="376" priority="541" operator="equal">
      <formula>"estado"</formula>
    </cfRule>
  </conditionalFormatting>
  <conditionalFormatting sqref="R55:V55">
    <cfRule type="cellIs" dxfId="375" priority="523" operator="equal">
      <formula>"finalizado"</formula>
    </cfRule>
    <cfRule type="cellIs" dxfId="374" priority="522" operator="equal">
      <formula>"estado"</formula>
    </cfRule>
    <cfRule type="cellIs" dxfId="373" priority="524" operator="equal">
      <formula>"a confirmar"</formula>
    </cfRule>
    <cfRule type="cellIs" dxfId="372" priority="525" operator="equal">
      <formula>"en ejecucion"</formula>
    </cfRule>
  </conditionalFormatting>
  <conditionalFormatting sqref="R64:V64">
    <cfRule type="cellIs" dxfId="371" priority="506" operator="equal">
      <formula>"en ejecucion"</formula>
    </cfRule>
    <cfRule type="cellIs" dxfId="370" priority="505" operator="equal">
      <formula>"a confirmar"</formula>
    </cfRule>
    <cfRule type="cellIs" dxfId="369" priority="503" operator="equal">
      <formula>"estado"</formula>
    </cfRule>
    <cfRule type="cellIs" dxfId="368" priority="504" operator="equal">
      <formula>"finalizado"</formula>
    </cfRule>
  </conditionalFormatting>
  <conditionalFormatting sqref="R73:V73">
    <cfRule type="cellIs" dxfId="367" priority="485" operator="equal">
      <formula>"finalizado"</formula>
    </cfRule>
    <cfRule type="cellIs" dxfId="366" priority="486" operator="equal">
      <formula>"a confirmar"</formula>
    </cfRule>
    <cfRule type="cellIs" dxfId="365" priority="487" operator="equal">
      <formula>"en ejecucion"</formula>
    </cfRule>
    <cfRule type="cellIs" dxfId="364" priority="484" operator="equal">
      <formula>"estado"</formula>
    </cfRule>
  </conditionalFormatting>
  <conditionalFormatting sqref="R82:V82">
    <cfRule type="cellIs" dxfId="363" priority="468" operator="equal">
      <formula>"en ejecucion"</formula>
    </cfRule>
    <cfRule type="cellIs" dxfId="362" priority="466" operator="equal">
      <formula>"finalizado"</formula>
    </cfRule>
    <cfRule type="cellIs" dxfId="361" priority="465" operator="equal">
      <formula>"estado"</formula>
    </cfRule>
    <cfRule type="cellIs" dxfId="360" priority="467" operator="equal">
      <formula>"a confirmar"</formula>
    </cfRule>
  </conditionalFormatting>
  <conditionalFormatting sqref="R91:V91">
    <cfRule type="cellIs" dxfId="359" priority="448" operator="equal">
      <formula>"a confirmar"</formula>
    </cfRule>
    <cfRule type="cellIs" dxfId="358" priority="446" operator="equal">
      <formula>"estado"</formula>
    </cfRule>
    <cfRule type="cellIs" dxfId="357" priority="449" operator="equal">
      <formula>"en ejecucion"</formula>
    </cfRule>
    <cfRule type="cellIs" dxfId="356" priority="447" operator="equal">
      <formula>"finalizado"</formula>
    </cfRule>
  </conditionalFormatting>
  <conditionalFormatting sqref="R100:V100">
    <cfRule type="cellIs" dxfId="355" priority="427" operator="equal">
      <formula>"estado"</formula>
    </cfRule>
    <cfRule type="cellIs" dxfId="354" priority="429" operator="equal">
      <formula>"a confirmar"</formula>
    </cfRule>
    <cfRule type="cellIs" dxfId="353" priority="430" operator="equal">
      <formula>"en ejecucion"</formula>
    </cfRule>
    <cfRule type="cellIs" dxfId="352" priority="428" operator="equal">
      <formula>"finalizado"</formula>
    </cfRule>
  </conditionalFormatting>
  <conditionalFormatting sqref="R109:V109">
    <cfRule type="cellIs" dxfId="351" priority="409" operator="equal">
      <formula>"finalizado"</formula>
    </cfRule>
    <cfRule type="cellIs" dxfId="350" priority="411" operator="equal">
      <formula>"en ejecucion"</formula>
    </cfRule>
    <cfRule type="cellIs" dxfId="349" priority="410" operator="equal">
      <formula>"a confirmar"</formula>
    </cfRule>
    <cfRule type="cellIs" dxfId="348" priority="408" operator="equal">
      <formula>"estado"</formula>
    </cfRule>
  </conditionalFormatting>
  <conditionalFormatting sqref="R118:V118">
    <cfRule type="cellIs" dxfId="347" priority="389" operator="equal">
      <formula>"estado"</formula>
    </cfRule>
    <cfRule type="cellIs" dxfId="346" priority="392" operator="equal">
      <formula>"en ejecucion"</formula>
    </cfRule>
    <cfRule type="cellIs" dxfId="345" priority="391" operator="equal">
      <formula>"a confirmar"</formula>
    </cfRule>
    <cfRule type="cellIs" dxfId="344" priority="390" operator="equal">
      <formula>"finalizado"</formula>
    </cfRule>
  </conditionalFormatting>
  <conditionalFormatting sqref="R127:V127">
    <cfRule type="cellIs" dxfId="343" priority="371" operator="equal">
      <formula>"finalizado"</formula>
    </cfRule>
    <cfRule type="cellIs" dxfId="342" priority="370" operator="equal">
      <formula>"estado"</formula>
    </cfRule>
    <cfRule type="cellIs" dxfId="341" priority="373" operator="equal">
      <formula>"en ejecucion"</formula>
    </cfRule>
    <cfRule type="cellIs" dxfId="340" priority="372" operator="equal">
      <formula>"a confirmar"</formula>
    </cfRule>
  </conditionalFormatting>
  <conditionalFormatting sqref="R136:V136">
    <cfRule type="cellIs" dxfId="339" priority="351" operator="equal">
      <formula>"estado"</formula>
    </cfRule>
    <cfRule type="cellIs" dxfId="338" priority="352" operator="equal">
      <formula>"finalizado"</formula>
    </cfRule>
    <cfRule type="cellIs" dxfId="337" priority="353" operator="equal">
      <formula>"a confirmar"</formula>
    </cfRule>
    <cfRule type="cellIs" dxfId="336" priority="354" operator="equal">
      <formula>"en ejecucion"</formula>
    </cfRule>
  </conditionalFormatting>
  <conditionalFormatting sqref="R145:V145">
    <cfRule type="cellIs" dxfId="335" priority="335" operator="equal">
      <formula>"en ejecucion"</formula>
    </cfRule>
    <cfRule type="cellIs" dxfId="334" priority="332" operator="equal">
      <formula>"estado"</formula>
    </cfRule>
    <cfRule type="cellIs" dxfId="333" priority="333" operator="equal">
      <formula>"finalizado"</formula>
    </cfRule>
    <cfRule type="cellIs" dxfId="332" priority="334" operator="equal">
      <formula>"a confirmar"</formula>
    </cfRule>
  </conditionalFormatting>
  <conditionalFormatting sqref="R154:V154">
    <cfRule type="cellIs" dxfId="331" priority="316" operator="equal">
      <formula>"en ejecucion"</formula>
    </cfRule>
    <cfRule type="cellIs" dxfId="330" priority="315" operator="equal">
      <formula>"a confirmar"</formula>
    </cfRule>
    <cfRule type="cellIs" dxfId="329" priority="314" operator="equal">
      <formula>"finalizado"</formula>
    </cfRule>
    <cfRule type="cellIs" dxfId="328" priority="313" operator="equal">
      <formula>"estado"</formula>
    </cfRule>
  </conditionalFormatting>
  <conditionalFormatting sqref="R163:V163">
    <cfRule type="cellIs" dxfId="327" priority="295" operator="equal">
      <formula>"finalizado"</formula>
    </cfRule>
    <cfRule type="cellIs" dxfId="326" priority="297" operator="equal">
      <formula>"en ejecucion"</formula>
    </cfRule>
    <cfRule type="cellIs" dxfId="325" priority="294" operator="equal">
      <formula>"estado"</formula>
    </cfRule>
    <cfRule type="cellIs" dxfId="324" priority="296" operator="equal">
      <formula>"a confirmar"</formula>
    </cfRule>
  </conditionalFormatting>
  <conditionalFormatting sqref="R172:V172">
    <cfRule type="cellIs" dxfId="323" priority="276" operator="equal">
      <formula>"finalizado"</formula>
    </cfRule>
    <cfRule type="cellIs" dxfId="322" priority="278" operator="equal">
      <formula>"en ejecucion"</formula>
    </cfRule>
    <cfRule type="cellIs" dxfId="321" priority="277" operator="equal">
      <formula>"a confirmar"</formula>
    </cfRule>
    <cfRule type="cellIs" dxfId="320" priority="275" operator="equal">
      <formula>"estado"</formula>
    </cfRule>
  </conditionalFormatting>
  <conditionalFormatting sqref="R181:V181">
    <cfRule type="cellIs" dxfId="319" priority="258" operator="equal">
      <formula>"a confirmar"</formula>
    </cfRule>
    <cfRule type="cellIs" dxfId="318" priority="257" operator="equal">
      <formula>"finalizado"</formula>
    </cfRule>
    <cfRule type="cellIs" dxfId="317" priority="259" operator="equal">
      <formula>"en ejecucion"</formula>
    </cfRule>
    <cfRule type="cellIs" dxfId="316" priority="256" operator="equal">
      <formula>"estado"</formula>
    </cfRule>
  </conditionalFormatting>
  <conditionalFormatting sqref="R190:V190">
    <cfRule type="cellIs" dxfId="315" priority="239" operator="equal">
      <formula>"a confirmar"</formula>
    </cfRule>
    <cfRule type="cellIs" dxfId="314" priority="238" operator="equal">
      <formula>"finalizado"</formula>
    </cfRule>
    <cfRule type="cellIs" dxfId="313" priority="237" operator="equal">
      <formula>"estado"</formula>
    </cfRule>
    <cfRule type="cellIs" dxfId="312" priority="240" operator="equal">
      <formula>"en ejecucion"</formula>
    </cfRule>
  </conditionalFormatting>
  <conditionalFormatting sqref="R199:V199">
    <cfRule type="cellIs" dxfId="311" priority="218" operator="equal">
      <formula>"estado"</formula>
    </cfRule>
    <cfRule type="cellIs" dxfId="310" priority="219" operator="equal">
      <formula>"finalizado"</formula>
    </cfRule>
    <cfRule type="cellIs" dxfId="309" priority="220" operator="equal">
      <formula>"a confirmar"</formula>
    </cfRule>
    <cfRule type="cellIs" dxfId="308" priority="221" operator="equal">
      <formula>"en ejecucion"</formula>
    </cfRule>
  </conditionalFormatting>
  <conditionalFormatting sqref="R208:V208">
    <cfRule type="cellIs" dxfId="307" priority="200" operator="equal">
      <formula>"finalizado"</formula>
    </cfRule>
    <cfRule type="cellIs" dxfId="306" priority="201" operator="equal">
      <formula>"a confirmar"</formula>
    </cfRule>
    <cfRule type="cellIs" dxfId="305" priority="202" operator="equal">
      <formula>"en ejecucion"</formula>
    </cfRule>
    <cfRule type="cellIs" dxfId="304" priority="199" operator="equal">
      <formula>"estado"</formula>
    </cfRule>
  </conditionalFormatting>
  <conditionalFormatting sqref="R217:V217">
    <cfRule type="cellIs" dxfId="303" priority="182" operator="equal">
      <formula>"a confirmar"</formula>
    </cfRule>
    <cfRule type="cellIs" dxfId="302" priority="181" operator="equal">
      <formula>"finalizado"</formula>
    </cfRule>
    <cfRule type="cellIs" dxfId="301" priority="180" operator="equal">
      <formula>"estado"</formula>
    </cfRule>
    <cfRule type="cellIs" dxfId="300" priority="183" operator="equal">
      <formula>"en ejecucion"</formula>
    </cfRule>
  </conditionalFormatting>
  <conditionalFormatting sqref="R226:V226">
    <cfRule type="cellIs" dxfId="299" priority="164" operator="equal">
      <formula>"en ejecucion"</formula>
    </cfRule>
    <cfRule type="cellIs" dxfId="298" priority="161" operator="equal">
      <formula>"estado"</formula>
    </cfRule>
    <cfRule type="cellIs" dxfId="297" priority="162" operator="equal">
      <formula>"finalizado"</formula>
    </cfRule>
    <cfRule type="cellIs" dxfId="296" priority="163" operator="equal">
      <formula>"a confirmar"</formula>
    </cfRule>
  </conditionalFormatting>
  <conditionalFormatting sqref="R235:V235">
    <cfRule type="cellIs" dxfId="295" priority="145" operator="equal">
      <formula>"en ejecucion"</formula>
    </cfRule>
    <cfRule type="cellIs" dxfId="294" priority="144" operator="equal">
      <formula>"a confirmar"</formula>
    </cfRule>
    <cfRule type="cellIs" dxfId="293" priority="143" operator="equal">
      <formula>"finalizado"</formula>
    </cfRule>
    <cfRule type="cellIs" dxfId="292" priority="142" operator="equal">
      <formula>"estado"</formula>
    </cfRule>
  </conditionalFormatting>
  <conditionalFormatting sqref="R244:V244">
    <cfRule type="cellIs" dxfId="291" priority="124" operator="equal">
      <formula>"finalizado"</formula>
    </cfRule>
    <cfRule type="cellIs" dxfId="290" priority="125" operator="equal">
      <formula>"a confirmar"</formula>
    </cfRule>
    <cfRule type="cellIs" dxfId="289" priority="126" operator="equal">
      <formula>"en ejecucion"</formula>
    </cfRule>
    <cfRule type="cellIs" dxfId="288" priority="123" operator="equal">
      <formula>"estado"</formula>
    </cfRule>
  </conditionalFormatting>
  <conditionalFormatting sqref="R253:V253">
    <cfRule type="cellIs" dxfId="287" priority="106" operator="equal">
      <formula>"a confirmar"</formula>
    </cfRule>
    <cfRule type="cellIs" dxfId="286" priority="107" operator="equal">
      <formula>"en ejecucion"</formula>
    </cfRule>
    <cfRule type="cellIs" dxfId="285" priority="104" operator="equal">
      <formula>"estado"</formula>
    </cfRule>
    <cfRule type="cellIs" dxfId="284" priority="105" operator="equal">
      <formula>"finalizado"</formula>
    </cfRule>
  </conditionalFormatting>
  <conditionalFormatting sqref="R262:V262">
    <cfRule type="cellIs" dxfId="283" priority="87" operator="equal">
      <formula>"a confirmar"</formula>
    </cfRule>
    <cfRule type="cellIs" dxfId="282" priority="88" operator="equal">
      <formula>"en ejecucion"</formula>
    </cfRule>
    <cfRule type="cellIs" dxfId="281" priority="85" operator="equal">
      <formula>"estado"</formula>
    </cfRule>
    <cfRule type="cellIs" dxfId="280" priority="86" operator="equal">
      <formula>"finalizado"</formula>
    </cfRule>
  </conditionalFormatting>
  <conditionalFormatting sqref="R271:V271">
    <cfRule type="cellIs" dxfId="279" priority="67" operator="equal">
      <formula>"finalizado"</formula>
    </cfRule>
    <cfRule type="cellIs" dxfId="278" priority="69" operator="equal">
      <formula>"en ejecucion"</formula>
    </cfRule>
    <cfRule type="cellIs" dxfId="277" priority="66" operator="equal">
      <formula>"estado"</formula>
    </cfRule>
    <cfRule type="cellIs" dxfId="276" priority="68" operator="equal">
      <formula>"a confirmar"</formula>
    </cfRule>
  </conditionalFormatting>
  <conditionalFormatting sqref="R280:V280">
    <cfRule type="cellIs" dxfId="275" priority="48" operator="equal">
      <formula>"finalizado"</formula>
    </cfRule>
    <cfRule type="cellIs" dxfId="274" priority="47" operator="equal">
      <formula>"estado"</formula>
    </cfRule>
    <cfRule type="cellIs" dxfId="273" priority="49" operator="equal">
      <formula>"a confirmar"</formula>
    </cfRule>
    <cfRule type="cellIs" dxfId="272" priority="50" operator="equal">
      <formula>"en ejecucion"</formula>
    </cfRule>
  </conditionalFormatting>
  <conditionalFormatting sqref="R289:V289">
    <cfRule type="cellIs" dxfId="271" priority="29" operator="equal">
      <formula>"finalizado"</formula>
    </cfRule>
    <cfRule type="cellIs" dxfId="270" priority="31" operator="equal">
      <formula>"en ejecucion"</formula>
    </cfRule>
    <cfRule type="cellIs" dxfId="269" priority="28" operator="equal">
      <formula>"estado"</formula>
    </cfRule>
    <cfRule type="cellIs" dxfId="268" priority="30" operator="equal">
      <formula>"a confirmar"</formula>
    </cfRule>
  </conditionalFormatting>
  <conditionalFormatting sqref="R298:V298">
    <cfRule type="cellIs" dxfId="267" priority="12" operator="equal">
      <formula>"en ejecucion"</formula>
    </cfRule>
    <cfRule type="cellIs" dxfId="266" priority="11" operator="equal">
      <formula>"a confirmar"</formula>
    </cfRule>
    <cfRule type="cellIs" dxfId="265" priority="10" operator="equal">
      <formula>"finalizado"</formula>
    </cfRule>
    <cfRule type="cellIs" dxfId="264" priority="9" operator="equal">
      <formula>"estado"</formula>
    </cfRule>
  </conditionalFormatting>
  <conditionalFormatting sqref="AB10:AF10">
    <cfRule type="cellIs" dxfId="263" priority="613" operator="equal">
      <formula>"estado"</formula>
    </cfRule>
    <cfRule type="cellIs" dxfId="262" priority="616" operator="equal">
      <formula>"en ejecucion"</formula>
    </cfRule>
    <cfRule type="cellIs" dxfId="261" priority="615" operator="equal">
      <formula>"a confirmar"</formula>
    </cfRule>
    <cfRule type="cellIs" dxfId="260" priority="614" operator="equal">
      <formula>"finalizado"</formula>
    </cfRule>
  </conditionalFormatting>
  <conditionalFormatting sqref="AB19:AF19">
    <cfRule type="cellIs" dxfId="259" priority="595" operator="equal">
      <formula>"finalizado"</formula>
    </cfRule>
    <cfRule type="cellIs" dxfId="258" priority="596" operator="equal">
      <formula>"a confirmar"</formula>
    </cfRule>
    <cfRule type="cellIs" dxfId="257" priority="597" operator="equal">
      <formula>"en ejecucion"</formula>
    </cfRule>
    <cfRule type="cellIs" dxfId="256" priority="594" operator="equal">
      <formula>"estado"</formula>
    </cfRule>
  </conditionalFormatting>
  <conditionalFormatting sqref="AB28:AF28">
    <cfRule type="cellIs" dxfId="255" priority="576" operator="equal">
      <formula>"finalizado"</formula>
    </cfRule>
    <cfRule type="cellIs" dxfId="254" priority="575" operator="equal">
      <formula>"estado"</formula>
    </cfRule>
    <cfRule type="cellIs" dxfId="253" priority="577" operator="equal">
      <formula>"a confirmar"</formula>
    </cfRule>
    <cfRule type="cellIs" dxfId="252" priority="578" operator="equal">
      <formula>"en ejecucion"</formula>
    </cfRule>
  </conditionalFormatting>
  <conditionalFormatting sqref="AB37:AF37">
    <cfRule type="cellIs" dxfId="251" priority="559" operator="equal">
      <formula>"en ejecucion"</formula>
    </cfRule>
    <cfRule type="cellIs" dxfId="250" priority="557" operator="equal">
      <formula>"finalizado"</formula>
    </cfRule>
    <cfRule type="cellIs" dxfId="249" priority="558" operator="equal">
      <formula>"a confirmar"</formula>
    </cfRule>
    <cfRule type="cellIs" dxfId="248" priority="556" operator="equal">
      <formula>"estado"</formula>
    </cfRule>
  </conditionalFormatting>
  <conditionalFormatting sqref="AB46:AF46">
    <cfRule type="cellIs" dxfId="247" priority="540" operator="equal">
      <formula>"en ejecucion"</formula>
    </cfRule>
    <cfRule type="cellIs" dxfId="246" priority="538" operator="equal">
      <formula>"finalizado"</formula>
    </cfRule>
    <cfRule type="cellIs" dxfId="245" priority="539" operator="equal">
      <formula>"a confirmar"</formula>
    </cfRule>
    <cfRule type="cellIs" dxfId="244" priority="537" operator="equal">
      <formula>"estado"</formula>
    </cfRule>
  </conditionalFormatting>
  <conditionalFormatting sqref="AB55:AF55">
    <cfRule type="cellIs" dxfId="243" priority="518" operator="equal">
      <formula>"estado"</formula>
    </cfRule>
    <cfRule type="cellIs" dxfId="242" priority="519" operator="equal">
      <formula>"finalizado"</formula>
    </cfRule>
    <cfRule type="cellIs" dxfId="241" priority="521" operator="equal">
      <formula>"en ejecucion"</formula>
    </cfRule>
    <cfRule type="cellIs" dxfId="240" priority="520" operator="equal">
      <formula>"a confirmar"</formula>
    </cfRule>
  </conditionalFormatting>
  <conditionalFormatting sqref="AB64:AF64">
    <cfRule type="cellIs" dxfId="239" priority="501" operator="equal">
      <formula>"a confirmar"</formula>
    </cfRule>
    <cfRule type="cellIs" dxfId="238" priority="500" operator="equal">
      <formula>"finalizado"</formula>
    </cfRule>
    <cfRule type="cellIs" dxfId="237" priority="499" operator="equal">
      <formula>"estado"</formula>
    </cfRule>
    <cfRule type="cellIs" dxfId="236" priority="502" operator="equal">
      <formula>"en ejecucion"</formula>
    </cfRule>
  </conditionalFormatting>
  <conditionalFormatting sqref="AB73:AF73">
    <cfRule type="cellIs" dxfId="235" priority="483" operator="equal">
      <formula>"en ejecucion"</formula>
    </cfRule>
    <cfRule type="cellIs" dxfId="234" priority="482" operator="equal">
      <formula>"a confirmar"</formula>
    </cfRule>
    <cfRule type="cellIs" dxfId="233" priority="481" operator="equal">
      <formula>"finalizado"</formula>
    </cfRule>
    <cfRule type="cellIs" dxfId="232" priority="480" operator="equal">
      <formula>"estado"</formula>
    </cfRule>
  </conditionalFormatting>
  <conditionalFormatting sqref="AB82:AF82">
    <cfRule type="cellIs" dxfId="231" priority="461" operator="equal">
      <formula>"estado"</formula>
    </cfRule>
    <cfRule type="cellIs" dxfId="230" priority="462" operator="equal">
      <formula>"finalizado"</formula>
    </cfRule>
    <cfRule type="cellIs" dxfId="229" priority="463" operator="equal">
      <formula>"a confirmar"</formula>
    </cfRule>
    <cfRule type="cellIs" dxfId="228" priority="464" operator="equal">
      <formula>"en ejecucion"</formula>
    </cfRule>
  </conditionalFormatting>
  <conditionalFormatting sqref="AB91:AF91">
    <cfRule type="cellIs" dxfId="227" priority="444" operator="equal">
      <formula>"a confirmar"</formula>
    </cfRule>
    <cfRule type="cellIs" dxfId="226" priority="445" operator="equal">
      <formula>"en ejecucion"</formula>
    </cfRule>
    <cfRule type="cellIs" dxfId="225" priority="442" operator="equal">
      <formula>"estado"</formula>
    </cfRule>
    <cfRule type="cellIs" dxfId="224" priority="443" operator="equal">
      <formula>"finalizado"</formula>
    </cfRule>
  </conditionalFormatting>
  <conditionalFormatting sqref="AB100:AF100">
    <cfRule type="cellIs" dxfId="223" priority="426" operator="equal">
      <formula>"en ejecucion"</formula>
    </cfRule>
    <cfRule type="cellIs" dxfId="222" priority="425" operator="equal">
      <formula>"a confirmar"</formula>
    </cfRule>
    <cfRule type="cellIs" dxfId="221" priority="424" operator="equal">
      <formula>"finalizado"</formula>
    </cfRule>
    <cfRule type="cellIs" dxfId="220" priority="423" operator="equal">
      <formula>"estado"</formula>
    </cfRule>
  </conditionalFormatting>
  <conditionalFormatting sqref="AB109:AF109">
    <cfRule type="cellIs" dxfId="219" priority="405" operator="equal">
      <formula>"finalizado"</formula>
    </cfRule>
    <cfRule type="cellIs" dxfId="218" priority="406" operator="equal">
      <formula>"a confirmar"</formula>
    </cfRule>
    <cfRule type="cellIs" dxfId="217" priority="407" operator="equal">
      <formula>"en ejecucion"</formula>
    </cfRule>
    <cfRule type="cellIs" dxfId="216" priority="404" operator="equal">
      <formula>"estado"</formula>
    </cfRule>
  </conditionalFormatting>
  <conditionalFormatting sqref="AB118:AF118">
    <cfRule type="cellIs" dxfId="215" priority="385" operator="equal">
      <formula>"estado"</formula>
    </cfRule>
    <cfRule type="cellIs" dxfId="214" priority="386" operator="equal">
      <formula>"finalizado"</formula>
    </cfRule>
    <cfRule type="cellIs" dxfId="213" priority="387" operator="equal">
      <formula>"a confirmar"</formula>
    </cfRule>
    <cfRule type="cellIs" dxfId="212" priority="388" operator="equal">
      <formula>"en ejecucion"</formula>
    </cfRule>
  </conditionalFormatting>
  <conditionalFormatting sqref="AB127:AF127">
    <cfRule type="cellIs" dxfId="211" priority="366" operator="equal">
      <formula>"estado"</formula>
    </cfRule>
    <cfRule type="cellIs" dxfId="210" priority="367" operator="equal">
      <formula>"finalizado"</formula>
    </cfRule>
    <cfRule type="cellIs" dxfId="209" priority="368" operator="equal">
      <formula>"a confirmar"</formula>
    </cfRule>
    <cfRule type="cellIs" dxfId="208" priority="369" operator="equal">
      <formula>"en ejecucion"</formula>
    </cfRule>
  </conditionalFormatting>
  <conditionalFormatting sqref="AB136:AF136">
    <cfRule type="cellIs" dxfId="207" priority="347" operator="equal">
      <formula>"estado"</formula>
    </cfRule>
    <cfRule type="cellIs" dxfId="206" priority="348" operator="equal">
      <formula>"finalizado"</formula>
    </cfRule>
    <cfRule type="cellIs" dxfId="205" priority="349" operator="equal">
      <formula>"a confirmar"</formula>
    </cfRule>
    <cfRule type="cellIs" dxfId="204" priority="350" operator="equal">
      <formula>"en ejecucion"</formula>
    </cfRule>
  </conditionalFormatting>
  <conditionalFormatting sqref="AB145:AF145">
    <cfRule type="cellIs" dxfId="203" priority="331" operator="equal">
      <formula>"en ejecucion"</formula>
    </cfRule>
    <cfRule type="cellIs" dxfId="202" priority="328" operator="equal">
      <formula>"estado"</formula>
    </cfRule>
    <cfRule type="cellIs" dxfId="201" priority="330" operator="equal">
      <formula>"a confirmar"</formula>
    </cfRule>
    <cfRule type="cellIs" dxfId="200" priority="329" operator="equal">
      <formula>"finalizado"</formula>
    </cfRule>
  </conditionalFormatting>
  <conditionalFormatting sqref="AB154:AF154">
    <cfRule type="cellIs" dxfId="199" priority="312" operator="equal">
      <formula>"en ejecucion"</formula>
    </cfRule>
    <cfRule type="cellIs" dxfId="198" priority="311" operator="equal">
      <formula>"a confirmar"</formula>
    </cfRule>
    <cfRule type="cellIs" dxfId="197" priority="310" operator="equal">
      <formula>"finalizado"</formula>
    </cfRule>
    <cfRule type="cellIs" dxfId="196" priority="309" operator="equal">
      <formula>"estado"</formula>
    </cfRule>
  </conditionalFormatting>
  <conditionalFormatting sqref="AB163:AF163">
    <cfRule type="cellIs" dxfId="195" priority="293" operator="equal">
      <formula>"en ejecucion"</formula>
    </cfRule>
    <cfRule type="cellIs" dxfId="194" priority="292" operator="equal">
      <formula>"a confirmar"</formula>
    </cfRule>
    <cfRule type="cellIs" dxfId="193" priority="291" operator="equal">
      <formula>"finalizado"</formula>
    </cfRule>
    <cfRule type="cellIs" dxfId="192" priority="290" operator="equal">
      <formula>"estado"</formula>
    </cfRule>
  </conditionalFormatting>
  <conditionalFormatting sqref="AB172:AF172">
    <cfRule type="cellIs" dxfId="191" priority="274" operator="equal">
      <formula>"en ejecucion"</formula>
    </cfRule>
    <cfRule type="cellIs" dxfId="190" priority="273" operator="equal">
      <formula>"a confirmar"</formula>
    </cfRule>
    <cfRule type="cellIs" dxfId="189" priority="272" operator="equal">
      <formula>"finalizado"</formula>
    </cfRule>
    <cfRule type="cellIs" dxfId="188" priority="271" operator="equal">
      <formula>"estado"</formula>
    </cfRule>
  </conditionalFormatting>
  <conditionalFormatting sqref="AB181:AF181">
    <cfRule type="cellIs" dxfId="187" priority="254" operator="equal">
      <formula>"a confirmar"</formula>
    </cfRule>
    <cfRule type="cellIs" dxfId="186" priority="253" operator="equal">
      <formula>"finalizado"</formula>
    </cfRule>
    <cfRule type="cellIs" dxfId="185" priority="252" operator="equal">
      <formula>"estado"</formula>
    </cfRule>
    <cfRule type="cellIs" dxfId="184" priority="255" operator="equal">
      <formula>"en ejecucion"</formula>
    </cfRule>
  </conditionalFormatting>
  <conditionalFormatting sqref="AB190:AF190">
    <cfRule type="cellIs" dxfId="183" priority="235" operator="equal">
      <formula>"a confirmar"</formula>
    </cfRule>
    <cfRule type="cellIs" dxfId="182" priority="234" operator="equal">
      <formula>"finalizado"</formula>
    </cfRule>
    <cfRule type="cellIs" dxfId="181" priority="233" operator="equal">
      <formula>"estado"</formula>
    </cfRule>
    <cfRule type="cellIs" dxfId="180" priority="236" operator="equal">
      <formula>"en ejecucion"</formula>
    </cfRule>
  </conditionalFormatting>
  <conditionalFormatting sqref="AB199:AF199">
    <cfRule type="cellIs" dxfId="179" priority="216" operator="equal">
      <formula>"a confirmar"</formula>
    </cfRule>
    <cfRule type="cellIs" dxfId="178" priority="214" operator="equal">
      <formula>"estado"</formula>
    </cfRule>
    <cfRule type="cellIs" dxfId="177" priority="215" operator="equal">
      <formula>"finalizado"</formula>
    </cfRule>
    <cfRule type="cellIs" dxfId="176" priority="217" operator="equal">
      <formula>"en ejecucion"</formula>
    </cfRule>
  </conditionalFormatting>
  <conditionalFormatting sqref="AB208:AF208">
    <cfRule type="cellIs" dxfId="175" priority="195" operator="equal">
      <formula>"estado"</formula>
    </cfRule>
    <cfRule type="cellIs" dxfId="174" priority="196" operator="equal">
      <formula>"finalizado"</formula>
    </cfRule>
    <cfRule type="cellIs" dxfId="173" priority="197" operator="equal">
      <formula>"a confirmar"</formula>
    </cfRule>
    <cfRule type="cellIs" dxfId="172" priority="198" operator="equal">
      <formula>"en ejecucion"</formula>
    </cfRule>
  </conditionalFormatting>
  <conditionalFormatting sqref="AB217:AF217">
    <cfRule type="cellIs" dxfId="171" priority="179" operator="equal">
      <formula>"en ejecucion"</formula>
    </cfRule>
    <cfRule type="cellIs" dxfId="170" priority="178" operator="equal">
      <formula>"a confirmar"</formula>
    </cfRule>
    <cfRule type="cellIs" dxfId="169" priority="177" operator="equal">
      <formula>"finalizado"</formula>
    </cfRule>
    <cfRule type="cellIs" dxfId="168" priority="176" operator="equal">
      <formula>"estado"</formula>
    </cfRule>
  </conditionalFormatting>
  <conditionalFormatting sqref="AB226:AF226">
    <cfRule type="cellIs" dxfId="167" priority="160" operator="equal">
      <formula>"en ejecucion"</formula>
    </cfRule>
    <cfRule type="cellIs" dxfId="166" priority="159" operator="equal">
      <formula>"a confirmar"</formula>
    </cfRule>
    <cfRule type="cellIs" dxfId="165" priority="158" operator="equal">
      <formula>"finalizado"</formula>
    </cfRule>
    <cfRule type="cellIs" dxfId="164" priority="157" operator="equal">
      <formula>"estado"</formula>
    </cfRule>
  </conditionalFormatting>
  <conditionalFormatting sqref="AB235:AF235">
    <cfRule type="cellIs" dxfId="163" priority="138" operator="equal">
      <formula>"estado"</formula>
    </cfRule>
    <cfRule type="cellIs" dxfId="162" priority="139" operator="equal">
      <formula>"finalizado"</formula>
    </cfRule>
    <cfRule type="cellIs" dxfId="161" priority="140" operator="equal">
      <formula>"a confirmar"</formula>
    </cfRule>
    <cfRule type="cellIs" dxfId="160" priority="141" operator="equal">
      <formula>"en ejecucion"</formula>
    </cfRule>
  </conditionalFormatting>
  <conditionalFormatting sqref="AB244:AF244">
    <cfRule type="cellIs" dxfId="159" priority="120" operator="equal">
      <formula>"finalizado"</formula>
    </cfRule>
    <cfRule type="cellIs" dxfId="158" priority="119" operator="equal">
      <formula>"estado"</formula>
    </cfRule>
    <cfRule type="cellIs" dxfId="157" priority="121" operator="equal">
      <formula>"a confirmar"</formula>
    </cfRule>
    <cfRule type="cellIs" dxfId="156" priority="122" operator="equal">
      <formula>"en ejecucion"</formula>
    </cfRule>
  </conditionalFormatting>
  <conditionalFormatting sqref="AB253:AF253">
    <cfRule type="cellIs" dxfId="155" priority="100" operator="equal">
      <formula>"estado"</formula>
    </cfRule>
    <cfRule type="cellIs" dxfId="154" priority="101" operator="equal">
      <formula>"finalizado"</formula>
    </cfRule>
    <cfRule type="cellIs" dxfId="153" priority="102" operator="equal">
      <formula>"a confirmar"</formula>
    </cfRule>
    <cfRule type="cellIs" dxfId="152" priority="103" operator="equal">
      <formula>"en ejecucion"</formula>
    </cfRule>
  </conditionalFormatting>
  <conditionalFormatting sqref="AB262:AF262">
    <cfRule type="cellIs" dxfId="151" priority="83" operator="equal">
      <formula>"a confirmar"</formula>
    </cfRule>
    <cfRule type="cellIs" dxfId="150" priority="82" operator="equal">
      <formula>"finalizado"</formula>
    </cfRule>
    <cfRule type="cellIs" dxfId="149" priority="81" operator="equal">
      <formula>"estado"</formula>
    </cfRule>
    <cfRule type="cellIs" dxfId="148" priority="84" operator="equal">
      <formula>"en ejecucion"</formula>
    </cfRule>
  </conditionalFormatting>
  <conditionalFormatting sqref="AB271:AF271">
    <cfRule type="cellIs" dxfId="147" priority="65" operator="equal">
      <formula>"en ejecucion"</formula>
    </cfRule>
    <cfRule type="cellIs" dxfId="146" priority="63" operator="equal">
      <formula>"finalizado"</formula>
    </cfRule>
    <cfRule type="cellIs" dxfId="145" priority="62" operator="equal">
      <formula>"estado"</formula>
    </cfRule>
    <cfRule type="cellIs" dxfId="144" priority="64" operator="equal">
      <formula>"a confirmar"</formula>
    </cfRule>
  </conditionalFormatting>
  <conditionalFormatting sqref="AB280:AF280">
    <cfRule type="cellIs" dxfId="143" priority="43" operator="equal">
      <formula>"estado"</formula>
    </cfRule>
    <cfRule type="cellIs" dxfId="142" priority="44" operator="equal">
      <formula>"finalizado"</formula>
    </cfRule>
    <cfRule type="cellIs" dxfId="141" priority="45" operator="equal">
      <formula>"a confirmar"</formula>
    </cfRule>
    <cfRule type="cellIs" dxfId="140" priority="46" operator="equal">
      <formula>"en ejecucion"</formula>
    </cfRule>
  </conditionalFormatting>
  <conditionalFormatting sqref="AB289:AF289">
    <cfRule type="cellIs" dxfId="139" priority="26" operator="equal">
      <formula>"a confirmar"</formula>
    </cfRule>
    <cfRule type="cellIs" dxfId="138" priority="27" operator="equal">
      <formula>"en ejecucion"</formula>
    </cfRule>
    <cfRule type="cellIs" dxfId="137" priority="24" operator="equal">
      <formula>"estado"</formula>
    </cfRule>
    <cfRule type="cellIs" dxfId="136" priority="25" operator="equal">
      <formula>"finalizado"</formula>
    </cfRule>
  </conditionalFormatting>
  <conditionalFormatting sqref="AB298:AF298">
    <cfRule type="cellIs" dxfId="135" priority="5" operator="equal">
      <formula>"estado"</formula>
    </cfRule>
    <cfRule type="cellIs" dxfId="134" priority="6" operator="equal">
      <formula>"finalizado"</formula>
    </cfRule>
    <cfRule type="cellIs" dxfId="133" priority="7" operator="equal">
      <formula>"a confirmar"</formula>
    </cfRule>
    <cfRule type="cellIs" dxfId="132" priority="8" operator="equal">
      <formula>"en ejecucion"</formula>
    </cfRule>
  </conditionalFormatting>
  <conditionalFormatting sqref="AL10:AP10">
    <cfRule type="cellIs" dxfId="131" priority="611" operator="equal">
      <formula>"a confirmar"</formula>
    </cfRule>
    <cfRule type="cellIs" dxfId="130" priority="612" operator="equal">
      <formula>"en ejecucion"</formula>
    </cfRule>
    <cfRule type="cellIs" dxfId="129" priority="610" operator="equal">
      <formula>"finalizado"</formula>
    </cfRule>
    <cfRule type="cellIs" dxfId="128" priority="609" operator="equal">
      <formula>"estado"</formula>
    </cfRule>
  </conditionalFormatting>
  <conditionalFormatting sqref="AL19:AP19">
    <cfRule type="cellIs" dxfId="127" priority="591" operator="equal">
      <formula>"finalizado"</formula>
    </cfRule>
    <cfRule type="cellIs" dxfId="126" priority="590" operator="equal">
      <formula>"estado"</formula>
    </cfRule>
    <cfRule type="cellIs" dxfId="125" priority="592" operator="equal">
      <formula>"a confirmar"</formula>
    </cfRule>
    <cfRule type="cellIs" dxfId="124" priority="593" operator="equal">
      <formula>"en ejecucion"</formula>
    </cfRule>
  </conditionalFormatting>
  <conditionalFormatting sqref="AL28:AP28">
    <cfRule type="cellIs" dxfId="123" priority="571" operator="equal">
      <formula>"estado"</formula>
    </cfRule>
    <cfRule type="cellIs" dxfId="122" priority="572" operator="equal">
      <formula>"finalizado"</formula>
    </cfRule>
    <cfRule type="cellIs" dxfId="121" priority="573" operator="equal">
      <formula>"a confirmar"</formula>
    </cfRule>
    <cfRule type="cellIs" dxfId="120" priority="574" operator="equal">
      <formula>"en ejecucion"</formula>
    </cfRule>
  </conditionalFormatting>
  <conditionalFormatting sqref="AL37:AP37">
    <cfRule type="cellIs" dxfId="119" priority="555" operator="equal">
      <formula>"en ejecucion"</formula>
    </cfRule>
    <cfRule type="cellIs" dxfId="118" priority="554" operator="equal">
      <formula>"a confirmar"</formula>
    </cfRule>
    <cfRule type="cellIs" dxfId="117" priority="553" operator="equal">
      <formula>"finalizado"</formula>
    </cfRule>
    <cfRule type="cellIs" dxfId="116" priority="552" operator="equal">
      <formula>"estado"</formula>
    </cfRule>
  </conditionalFormatting>
  <conditionalFormatting sqref="AL46:AP46">
    <cfRule type="cellIs" dxfId="115" priority="536" operator="equal">
      <formula>"en ejecucion"</formula>
    </cfRule>
    <cfRule type="cellIs" dxfId="114" priority="535" operator="equal">
      <formula>"a confirmar"</formula>
    </cfRule>
    <cfRule type="cellIs" dxfId="113" priority="534" operator="equal">
      <formula>"finalizado"</formula>
    </cfRule>
    <cfRule type="cellIs" dxfId="112" priority="533" operator="equal">
      <formula>"estado"</formula>
    </cfRule>
  </conditionalFormatting>
  <conditionalFormatting sqref="AL55:AP55">
    <cfRule type="cellIs" dxfId="111" priority="517" operator="equal">
      <formula>"en ejecucion"</formula>
    </cfRule>
    <cfRule type="cellIs" dxfId="110" priority="516" operator="equal">
      <formula>"a confirmar"</formula>
    </cfRule>
    <cfRule type="cellIs" dxfId="109" priority="515" operator="equal">
      <formula>"finalizado"</formula>
    </cfRule>
    <cfRule type="cellIs" dxfId="108" priority="514" operator="equal">
      <formula>"estado"</formula>
    </cfRule>
  </conditionalFormatting>
  <conditionalFormatting sqref="AL64:AP64">
    <cfRule type="cellIs" dxfId="107" priority="498" operator="equal">
      <formula>"en ejecucion"</formula>
    </cfRule>
    <cfRule type="cellIs" dxfId="106" priority="497" operator="equal">
      <formula>"a confirmar"</formula>
    </cfRule>
    <cfRule type="cellIs" dxfId="105" priority="496" operator="equal">
      <formula>"finalizado"</formula>
    </cfRule>
    <cfRule type="cellIs" dxfId="104" priority="495" operator="equal">
      <formula>"estado"</formula>
    </cfRule>
  </conditionalFormatting>
  <conditionalFormatting sqref="AL73:AP73">
    <cfRule type="cellIs" dxfId="103" priority="479" operator="equal">
      <formula>"en ejecucion"</formula>
    </cfRule>
    <cfRule type="cellIs" dxfId="102" priority="476" operator="equal">
      <formula>"estado"</formula>
    </cfRule>
    <cfRule type="cellIs" dxfId="101" priority="477" operator="equal">
      <formula>"finalizado"</formula>
    </cfRule>
    <cfRule type="cellIs" dxfId="100" priority="478" operator="equal">
      <formula>"a confirmar"</formula>
    </cfRule>
  </conditionalFormatting>
  <conditionalFormatting sqref="AL82:AP82">
    <cfRule type="cellIs" dxfId="99" priority="460" operator="equal">
      <formula>"en ejecucion"</formula>
    </cfRule>
    <cfRule type="cellIs" dxfId="98" priority="459" operator="equal">
      <formula>"a confirmar"</formula>
    </cfRule>
    <cfRule type="cellIs" dxfId="97" priority="458" operator="equal">
      <formula>"finalizado"</formula>
    </cfRule>
    <cfRule type="cellIs" dxfId="96" priority="457" operator="equal">
      <formula>"estado"</formula>
    </cfRule>
  </conditionalFormatting>
  <conditionalFormatting sqref="AL91:AP91">
    <cfRule type="cellIs" dxfId="95" priority="439" operator="equal">
      <formula>"finalizado"</formula>
    </cfRule>
    <cfRule type="cellIs" dxfId="94" priority="441" operator="equal">
      <formula>"en ejecucion"</formula>
    </cfRule>
    <cfRule type="cellIs" dxfId="93" priority="440" operator="equal">
      <formula>"a confirmar"</formula>
    </cfRule>
    <cfRule type="cellIs" dxfId="92" priority="438" operator="equal">
      <formula>"estado"</formula>
    </cfRule>
  </conditionalFormatting>
  <conditionalFormatting sqref="AL100:AP100">
    <cfRule type="cellIs" dxfId="91" priority="421" operator="equal">
      <formula>"a confirmar"</formula>
    </cfRule>
    <cfRule type="cellIs" dxfId="90" priority="422" operator="equal">
      <formula>"en ejecucion"</formula>
    </cfRule>
    <cfRule type="cellIs" dxfId="89" priority="419" operator="equal">
      <formula>"estado"</formula>
    </cfRule>
    <cfRule type="cellIs" dxfId="88" priority="420" operator="equal">
      <formula>"finalizado"</formula>
    </cfRule>
  </conditionalFormatting>
  <conditionalFormatting sqref="AL109:AP109">
    <cfRule type="cellIs" dxfId="87" priority="402" operator="equal">
      <formula>"a confirmar"</formula>
    </cfRule>
    <cfRule type="cellIs" dxfId="86" priority="403" operator="equal">
      <formula>"en ejecucion"</formula>
    </cfRule>
    <cfRule type="cellIs" dxfId="85" priority="400" operator="equal">
      <formula>"estado"</formula>
    </cfRule>
    <cfRule type="cellIs" dxfId="84" priority="401" operator="equal">
      <formula>"finalizado"</formula>
    </cfRule>
  </conditionalFormatting>
  <conditionalFormatting sqref="AL118:AP118">
    <cfRule type="cellIs" dxfId="83" priority="384" operator="equal">
      <formula>"en ejecucion"</formula>
    </cfRule>
    <cfRule type="cellIs" dxfId="82" priority="383" operator="equal">
      <formula>"a confirmar"</formula>
    </cfRule>
    <cfRule type="cellIs" dxfId="81" priority="382" operator="equal">
      <formula>"finalizado"</formula>
    </cfRule>
    <cfRule type="cellIs" dxfId="80" priority="381" operator="equal">
      <formula>"estado"</formula>
    </cfRule>
  </conditionalFormatting>
  <conditionalFormatting sqref="AL127:AP127">
    <cfRule type="cellIs" dxfId="79" priority="365" operator="equal">
      <formula>"en ejecucion"</formula>
    </cfRule>
    <cfRule type="cellIs" dxfId="78" priority="363" operator="equal">
      <formula>"finalizado"</formula>
    </cfRule>
    <cfRule type="cellIs" dxfId="77" priority="362" operator="equal">
      <formula>"estado"</formula>
    </cfRule>
    <cfRule type="cellIs" dxfId="76" priority="364" operator="equal">
      <formula>"a confirmar"</formula>
    </cfRule>
  </conditionalFormatting>
  <conditionalFormatting sqref="AL136:AP136">
    <cfRule type="cellIs" dxfId="75" priority="343" operator="equal">
      <formula>"estado"</formula>
    </cfRule>
    <cfRule type="cellIs" dxfId="74" priority="344" operator="equal">
      <formula>"finalizado"</formula>
    </cfRule>
    <cfRule type="cellIs" dxfId="73" priority="345" operator="equal">
      <formula>"a confirmar"</formula>
    </cfRule>
    <cfRule type="cellIs" dxfId="72" priority="346" operator="equal">
      <formula>"en ejecucion"</formula>
    </cfRule>
  </conditionalFormatting>
  <conditionalFormatting sqref="AL145:AP145">
    <cfRule type="cellIs" dxfId="71" priority="326" operator="equal">
      <formula>"a confirmar"</formula>
    </cfRule>
    <cfRule type="cellIs" dxfId="70" priority="327" operator="equal">
      <formula>"en ejecucion"</formula>
    </cfRule>
    <cfRule type="cellIs" dxfId="69" priority="325" operator="equal">
      <formula>"finalizado"</formula>
    </cfRule>
    <cfRule type="cellIs" dxfId="68" priority="324" operator="equal">
      <formula>"estado"</formula>
    </cfRule>
  </conditionalFormatting>
  <conditionalFormatting sqref="AL154:AP154">
    <cfRule type="cellIs" dxfId="67" priority="308" operator="equal">
      <formula>"en ejecucion"</formula>
    </cfRule>
    <cfRule type="cellIs" dxfId="66" priority="307" operator="equal">
      <formula>"a confirmar"</formula>
    </cfRule>
    <cfRule type="cellIs" dxfId="65" priority="306" operator="equal">
      <formula>"finalizado"</formula>
    </cfRule>
    <cfRule type="cellIs" dxfId="64" priority="305" operator="equal">
      <formula>"estado"</formula>
    </cfRule>
  </conditionalFormatting>
  <conditionalFormatting sqref="AL163:AP163">
    <cfRule type="cellIs" dxfId="63" priority="286" operator="equal">
      <formula>"estado"</formula>
    </cfRule>
    <cfRule type="cellIs" dxfId="62" priority="287" operator="equal">
      <formula>"finalizado"</formula>
    </cfRule>
    <cfRule type="cellIs" dxfId="61" priority="288" operator="equal">
      <formula>"a confirmar"</formula>
    </cfRule>
    <cfRule type="cellIs" dxfId="60" priority="289" operator="equal">
      <formula>"en ejecucion"</formula>
    </cfRule>
  </conditionalFormatting>
  <conditionalFormatting sqref="AL172:AP172">
    <cfRule type="cellIs" dxfId="59" priority="269" operator="equal">
      <formula>"a confirmar"</formula>
    </cfRule>
    <cfRule type="cellIs" dxfId="58" priority="268" operator="equal">
      <formula>"finalizado"</formula>
    </cfRule>
    <cfRule type="cellIs" dxfId="57" priority="267" operator="equal">
      <formula>"estado"</formula>
    </cfRule>
    <cfRule type="cellIs" dxfId="56" priority="270" operator="equal">
      <formula>"en ejecucion"</formula>
    </cfRule>
  </conditionalFormatting>
  <conditionalFormatting sqref="AL181:AP181">
    <cfRule type="cellIs" dxfId="55" priority="250" operator="equal">
      <formula>"a confirmar"</formula>
    </cfRule>
    <cfRule type="cellIs" dxfId="54" priority="251" operator="equal">
      <formula>"en ejecucion"</formula>
    </cfRule>
    <cfRule type="cellIs" dxfId="53" priority="248" operator="equal">
      <formula>"estado"</formula>
    </cfRule>
    <cfRule type="cellIs" dxfId="52" priority="249" operator="equal">
      <formula>"finalizado"</formula>
    </cfRule>
  </conditionalFormatting>
  <conditionalFormatting sqref="AL190:AP190">
    <cfRule type="cellIs" dxfId="51" priority="232" operator="equal">
      <formula>"en ejecucion"</formula>
    </cfRule>
    <cfRule type="cellIs" dxfId="50" priority="229" operator="equal">
      <formula>"estado"</formula>
    </cfRule>
    <cfRule type="cellIs" dxfId="49" priority="231" operator="equal">
      <formula>"a confirmar"</formula>
    </cfRule>
    <cfRule type="cellIs" dxfId="48" priority="230" operator="equal">
      <formula>"finalizado"</formula>
    </cfRule>
  </conditionalFormatting>
  <conditionalFormatting sqref="AL199:AP199">
    <cfRule type="cellIs" dxfId="47" priority="213" operator="equal">
      <formula>"en ejecucion"</formula>
    </cfRule>
    <cfRule type="cellIs" dxfId="46" priority="212" operator="equal">
      <formula>"a confirmar"</formula>
    </cfRule>
    <cfRule type="cellIs" dxfId="45" priority="210" operator="equal">
      <formula>"estado"</formula>
    </cfRule>
    <cfRule type="cellIs" dxfId="44" priority="211" operator="equal">
      <formula>"finalizado"</formula>
    </cfRule>
  </conditionalFormatting>
  <conditionalFormatting sqref="AL208:AP208">
    <cfRule type="cellIs" dxfId="43" priority="192" operator="equal">
      <formula>"finalizado"</formula>
    </cfRule>
    <cfRule type="cellIs" dxfId="42" priority="193" operator="equal">
      <formula>"a confirmar"</formula>
    </cfRule>
    <cfRule type="cellIs" dxfId="41" priority="191" operator="equal">
      <formula>"estado"</formula>
    </cfRule>
    <cfRule type="cellIs" dxfId="40" priority="194" operator="equal">
      <formula>"en ejecucion"</formula>
    </cfRule>
  </conditionalFormatting>
  <conditionalFormatting sqref="AL217:AP217">
    <cfRule type="cellIs" dxfId="39" priority="175" operator="equal">
      <formula>"en ejecucion"</formula>
    </cfRule>
    <cfRule type="cellIs" dxfId="38" priority="173" operator="equal">
      <formula>"finalizado"</formula>
    </cfRule>
    <cfRule type="cellIs" dxfId="37" priority="174" operator="equal">
      <formula>"a confirmar"</formula>
    </cfRule>
    <cfRule type="cellIs" dxfId="36" priority="172" operator="equal">
      <formula>"estado"</formula>
    </cfRule>
  </conditionalFormatting>
  <conditionalFormatting sqref="AL226:AP226">
    <cfRule type="cellIs" dxfId="35" priority="153" operator="equal">
      <formula>"estado"</formula>
    </cfRule>
    <cfRule type="cellIs" dxfId="34" priority="156" operator="equal">
      <formula>"en ejecucion"</formula>
    </cfRule>
    <cfRule type="cellIs" dxfId="33" priority="155" operator="equal">
      <formula>"a confirmar"</formula>
    </cfRule>
    <cfRule type="cellIs" dxfId="32" priority="154" operator="equal">
      <formula>"finalizado"</formula>
    </cfRule>
  </conditionalFormatting>
  <conditionalFormatting sqref="AL235:AP235">
    <cfRule type="cellIs" dxfId="31" priority="134" operator="equal">
      <formula>"estado"</formula>
    </cfRule>
    <cfRule type="cellIs" dxfId="30" priority="136" operator="equal">
      <formula>"a confirmar"</formula>
    </cfRule>
    <cfRule type="cellIs" dxfId="29" priority="137" operator="equal">
      <formula>"en ejecucion"</formula>
    </cfRule>
    <cfRule type="cellIs" dxfId="28" priority="135" operator="equal">
      <formula>"finalizado"</formula>
    </cfRule>
  </conditionalFormatting>
  <conditionalFormatting sqref="AL244:AP244">
    <cfRule type="cellIs" dxfId="27" priority="118" operator="equal">
      <formula>"en ejecucion"</formula>
    </cfRule>
    <cfRule type="cellIs" dxfId="26" priority="117" operator="equal">
      <formula>"a confirmar"</formula>
    </cfRule>
    <cfRule type="cellIs" dxfId="25" priority="116" operator="equal">
      <formula>"finalizado"</formula>
    </cfRule>
    <cfRule type="cellIs" dxfId="24" priority="115" operator="equal">
      <formula>"estado"</formula>
    </cfRule>
  </conditionalFormatting>
  <conditionalFormatting sqref="AL253:AP253">
    <cfRule type="cellIs" dxfId="23" priority="96" operator="equal">
      <formula>"estado"</formula>
    </cfRule>
    <cfRule type="cellIs" dxfId="22" priority="99" operator="equal">
      <formula>"en ejecucion"</formula>
    </cfRule>
    <cfRule type="cellIs" dxfId="21" priority="98" operator="equal">
      <formula>"a confirmar"</formula>
    </cfRule>
    <cfRule type="cellIs" dxfId="20" priority="97" operator="equal">
      <formula>"finalizado"</formula>
    </cfRule>
  </conditionalFormatting>
  <conditionalFormatting sqref="AL262:AP262">
    <cfRule type="cellIs" dxfId="19" priority="78" operator="equal">
      <formula>"finalizado"</formula>
    </cfRule>
    <cfRule type="cellIs" dxfId="18" priority="79" operator="equal">
      <formula>"a confirmar"</formula>
    </cfRule>
    <cfRule type="cellIs" dxfId="17" priority="80" operator="equal">
      <formula>"en ejecucion"</formula>
    </cfRule>
    <cfRule type="cellIs" dxfId="16" priority="77" operator="equal">
      <formula>"estado"</formula>
    </cfRule>
  </conditionalFormatting>
  <conditionalFormatting sqref="AL271:AP271">
    <cfRule type="cellIs" dxfId="15" priority="59" operator="equal">
      <formula>"finalizado"</formula>
    </cfRule>
    <cfRule type="cellIs" dxfId="14" priority="58" operator="equal">
      <formula>"estado"</formula>
    </cfRule>
    <cfRule type="cellIs" dxfId="13" priority="61" operator="equal">
      <formula>"en ejecucion"</formula>
    </cfRule>
    <cfRule type="cellIs" dxfId="12" priority="60" operator="equal">
      <formula>"a confirmar"</formula>
    </cfRule>
  </conditionalFormatting>
  <conditionalFormatting sqref="AL280:AP280">
    <cfRule type="cellIs" dxfId="11" priority="39" operator="equal">
      <formula>"estado"</formula>
    </cfRule>
    <cfRule type="cellIs" dxfId="10" priority="40" operator="equal">
      <formula>"finalizado"</formula>
    </cfRule>
    <cfRule type="cellIs" dxfId="9" priority="41" operator="equal">
      <formula>"a confirmar"</formula>
    </cfRule>
    <cfRule type="cellIs" dxfId="8" priority="42" operator="equal">
      <formula>"en ejecucion"</formula>
    </cfRule>
  </conditionalFormatting>
  <conditionalFormatting sqref="AL289:AP289">
    <cfRule type="cellIs" dxfId="7" priority="20" operator="equal">
      <formula>"estado"</formula>
    </cfRule>
    <cfRule type="cellIs" dxfId="6" priority="22" operator="equal">
      <formula>"a confirmar"</formula>
    </cfRule>
    <cfRule type="cellIs" dxfId="5" priority="23" operator="equal">
      <formula>"en ejecucion"</formula>
    </cfRule>
    <cfRule type="cellIs" dxfId="4" priority="21" operator="equal">
      <formula>"finalizado"</formula>
    </cfRule>
  </conditionalFormatting>
  <conditionalFormatting sqref="AL298:AP298">
    <cfRule type="cellIs" dxfId="3" priority="2" operator="equal">
      <formula>"finalizado"</formula>
    </cfRule>
    <cfRule type="cellIs" dxfId="2" priority="4" operator="equal">
      <formula>"en ejecucion"</formula>
    </cfRule>
    <cfRule type="cellIs" dxfId="1" priority="1" operator="equal">
      <formula>"estado"</formula>
    </cfRule>
    <cfRule type="cellIs" dxfId="0" priority="3" operator="equal">
      <formula>"a confirmar"</formula>
    </cfRule>
  </conditionalFormatting>
  <dataValidations count="5">
    <dataValidation type="list" allowBlank="1" showInputMessage="1" showErrorMessage="1" sqref="Q10 G418 G19 G308 G388 G318 G328 G338 G398 G348 G358 G368 G378 G408 AA10 AK10 G10 Q19 AA19 AK19 AA28 AK28 G28 Q28 G298 Q298 AA298 Q37 G37 AK37 AA37 AA46 Q46 G46 AK46 AK55 AA55 Q55 G55 G64 AK64 AA64 Q64 Q73 G73 AK73 AA73 AA82 Q82 G82 AK82 AK100 Q91 G100 AA91 AK91 G91 Q100 AA100 AK109 AA109 Q109 G109 AA127 AK127 Q118 G127 AA118 AK118 G118 Q127 G136 AK136 AA136 Q136 Q181 AK154 Q145 G154 AA145 AK145 G145 Q154 AA154 AK163 AA163 Q163 G163 AA181 AK181 Q172 G181 AA172 AK172 G172 Q190 G190 AK190 AA190 G280 AK208 Q199 G208 AA199 AK199 G199 Q208 AA208 AK217 AA217 Q217 G217 AA235 AK235 Q226 G235 AA226 AK226 G226 Q235 G244 AK244 AA244 Q244 AK262 Q253 G262 AA253 AK253 G253 Q262 AA262 AK271 AA271 Q271 G271 Q280 AA280 AK280 AA289 Q289 G289 AK289 AK298" xr:uid="{00000000-0002-0000-0000-000000000000}">
      <formula1>estado</formula1>
    </dataValidation>
    <dataValidation type="list" allowBlank="1" showInputMessage="1" showErrorMessage="1" sqref="C400 C300 C340 C370 C380 C360 C410 C350 C330 C320 C310 C390" xr:uid="{00000000-0002-0000-0000-000001000000}">
      <formula1>unidad</formula1>
    </dataValidation>
    <dataValidation type="list" allowBlank="1" showInputMessage="1" showErrorMessage="1" sqref="B410 B330 B320 B310 B300 B350 B360 B370 B380 B390 B400 B340" xr:uid="{00000000-0002-0000-0000-000002000000}">
      <formula1>$B$2:$B$298</formula1>
    </dataValidation>
    <dataValidation type="list" allowBlank="1" showInputMessage="1" showErrorMessage="1" sqref="D315 D325 D335 D345 D355 D365 D375 D385 D395 D405 D415 D383 D303 D413 D313 D323 D333 D343 D353 D363 D373 D393 D403" xr:uid="{00000000-0002-0000-0000-000003000000}">
      <formula1>#REF!</formula1>
    </dataValidation>
    <dataValidation type="list" allowBlank="1" showInputMessage="1" showErrorMessage="1" sqref="AI13:AI19 O13:O19 Y13:Y19 AI283:AI289 O283:O289 Y283:Y289 AI274:AI280 O274:O280 Y274:Y280 AI265:AI271 O265:O271 Y265:Y271 AI247:AI253 O247:O253 Y247:Y253 AI256:AI262 O256:O262 Y256:Y262 AI238:AI244 O238:O244 Y238:Y244 AI220:AI226 O220:O226 Y220:Y226 AI229:AI235 O229:O235 Y229:Y235 AI211:AI217 O211:O217 Y211:Y217 AI193:AI199 O193:O199 Y193:Y199 AI202:AI208 O202:O208 Y202:Y208 AI184:AI190 O184:O190 Y184:Y190 AI166:AI172 O166:O172 Y166:Y172 AI175:AI181 O175:O181 Y175:Y181 AI157:AI163 O157:O163 Y157:Y163 AI139:AI145 O139:O145 Y139:Y145 AI148:AI154 O148:O154 Y148:Y154 AI130:AI136 O130:O136 Y130:Y136 AI112:AI118 O112:O118 Y112:Y118 AI121:AI127 O121:O127 Y121:Y127 AI103:AI109 O103:O109 Y103:Y109 AI85:AI91 O85:O91 Y85:Y91 AI94:AI100 O94:O100 Y94:Y100 AI76:AI82 O76:O82 Y76:Y82 AI67:AI73 O67:O73 Y67:Y73 AI58:AI64 O58:O64 Y58:Y64 AI49:AI55 O49:O55 Y49:Y55 AI40:AI46 O40:O46 Y40:Y46 AI31:AI37 O31:O37 Y31:Y37 AI292:AI298 O292:O298 Y292:Y298 AI22:AI28 O22:O28 Y22:Y28" xr:uid="{00000000-0002-0000-0000-000005000000}">
      <formula1>$B$2:$B$104</formula1>
    </dataValidation>
  </dataValidations>
  <pageMargins left="0.15748031496062992" right="0.47244094488188981" top="0.11811023622047245" bottom="0.11811023622047245" header="0" footer="0"/>
  <pageSetup paperSize="9" scale="63" orientation="landscape" r:id="rId1"/>
  <headerFooter alignWithMargins="0"/>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000-000025000000}">
          <x14:formula1>
            <xm:f>Empresas!$C$2:$C$10</xm:f>
          </x14:formula1>
          <xm:sqref>G409 G299 G379 G309 G319 G329 G389 G339 G349 G359 G369 G399 AA12 AK12 AK273 Q3 AA3 AK3 AA282 Q12 Q255 Q21 AA21 AK21 G30 Q30 AA30 AK30 G129 Q39 AA39 AK39 Q273 Q48 AA48 AK48 G21 Q57 AA57 AK57 G39 Q66 AA66 AK66 G183 Q75 AA75 AK75 AA93 AK93 G12 Q84 AA84 AK84 G93 Q93 G102 Q102 AA102 AK102 AA120 AK120 AA264 Q111 AA111 AK111 Q264 Q120 G273 Q129 AA129 AK129 AA147 AK147 G57 Q138 AA138 AK138 G147 Q147 Q282 Q156 AA156 AK156 AA174 AK174 G246 Q165 AA165 AK165 AK282 Q174 AK291 Q183 AA183 AK183 AA201 AK201 AA291 Q192 AA192 AK192 AA273 Q201 G156 Q210 AA210 AK210 AA228 AK228 AK264 Q219 AA219 AK219 G237 Q228 Q291 Q237 AA237 AK237 AA255 AK255 G3 Q246 AA246 AK246 G66 G120 G291 G282 G228 G75 G174 G264 G111 G48 G138 G219 G192 G201</xm:sqref>
        </x14:dataValidation>
        <x14:dataValidation type="list" allowBlank="1" showInputMessage="1" showErrorMessage="1" xr:uid="{00000000-0002-0000-0000-000026000000}">
          <x14:formula1>
            <xm:f>Equipos!$A$113:$A$115</xm:f>
          </x14:formula1>
          <xm:sqref>D305</xm:sqref>
        </x14:dataValidation>
        <x14:dataValidation type="list" allowBlank="1" showInputMessage="1" showErrorMessage="1" xr:uid="{00000000-0002-0000-0000-000027000000}">
          <x14:formula1>
            <xm:f>Empresas!$A$24:$A$27</xm:f>
          </x14:formula1>
          <xm:sqref>B9 B18 B27 B36 B45 B54 B63 B72 B81 B90 B99 B108 B117 B126 B135 B144 B153 B162 B171 B180 B189 B198 B207 B216 B225 B234 B243 B252 B261 B270 B279 B288 B297</xm:sqref>
        </x14:dataValidation>
        <x14:dataValidation type="list" allowBlank="1" showInputMessage="1" showErrorMessage="1" xr:uid="{00000000-0002-0000-0000-000028000000}">
          <x14:formula1>
            <xm:f>Operador!$D$2:$D$7</xm:f>
          </x14:formula1>
          <xm:sqref>K415:L415 K305:L305 K315:L315 K325:L325 K335:L335 K345:L345 K355:L355 K365:L365 K375:L375 K385:L385 K395:L395 K405:L405 U288:V288 AO18:AP18 U9:V9 AE9:AF9 AO9:AP9 AE288:AF288 U18:V18 AE18:AF18 AE261:AF261 U27:V27 AE27:AF27 AO27:AP27 K36:L36 U36:V36 AE36:AF36 AO36:AP36 K135:L135 U45:V45 AE45:AF45 AO45:AP45 AO279:AP279 U54:V54 AE54:AF54 AO54:AP54 K27:L27 U63:V63 AE63:AF63 AO63:AP63 K45:L45 U72:V72 AE72:AF72 AO72:AP72 K189:L189 U81:V81 AE81:AF81 AO81:AP81 K18:L18 AO99:AP99 U90:V90 AE90:AF90 AO90:AP90 K99:L99 U99:V99 AE99:AF99 K108:L108 U108:V108 AE108:AF108 AO108:AP108 AE270:AF270 AO126:AP126 U117:V117 AE117:AF117 AO117:AP117 U270:V270 U126:V126 AE126:AF126 K279:L279 U135:V135 AE135:AF135 AO135:AP135 K63:L63 AO153:AP153 U144:V144 AE144:AF144 AO144:AP144 K153:L153 U153:V153 AE153:AF153 U279:V279 U162:V162 AE162:AF162 AO162:AP162 K252:L252 AO180:AP180 U171:V171 AE171:AF171 AO171:AP171 AO288:AP288 U180:V180 AE180:AF180 AO297:AP297 U189:V189 AE189:AF189 AO189:AP189 AE297:AF297 AO207:AP207 U198:V198 AE198:AF198 AO198:AP198 U261:V261 U207:V207 AE207:AF207 K162:L162 U216:V216 AE216:AF216 AO216:AP216 AO270:AP270 AO234:AP234 U225:V225 AE225:AF225 AO225:AP225 AE279:AF279 U234:V234 AE234:AF234 U297:V297 U243:V243 AE243:AF243 AO243:AP243 K9:L9 AO261:AP261 U252:V252 AE252:AF252 AO252:AP252 K243:L243 K72:L72 K126:L126 K297:L297 K234:L234 K81:L81 K180:L180 K270:L270 K288:L288 K117:L117 K54:L54 K144:L144 K225:L225 K198:L198 K207:L207</xm:sqref>
        </x14:dataValidation>
        <x14:dataValidation type="list" allowBlank="1" showInputMessage="1" showErrorMessage="1" xr:uid="{00000000-0002-0000-0000-000029000000}">
          <x14:formula1>
            <xm:f>Personal!#REF!</xm:f>
          </x14:formula1>
          <xm:sqref>D310 D340 D320 D330 D300 D410 D400 D390 D380 D370 D360 D350</xm:sqref>
        </x14:dataValidation>
        <x14:dataValidation type="list" allowBlank="1" showInputMessage="1" showErrorMessage="1" xr:uid="{00000000-0002-0000-0000-00002A000000}">
          <x14:formula1>
            <xm:f>Equipos!$B$99:$B$104</xm:f>
          </x14:formula1>
          <xm:sqref>F36 AJ81 AJ72 AJ63 AJ54 AJ36 Z81 Z72 Z63 Z54 Z36 P81 P72 P63 P54 P36 F81 F72 F63 F54</xm:sqref>
        </x14:dataValidation>
        <x14:dataValidation type="list" allowBlank="1" showInputMessage="1" showErrorMessage="1" xr:uid="{00000000-0002-0000-0000-00002C000000}">
          <x14:formula1>
            <xm:f>Verificador!$D$2:$D$8</xm:f>
          </x14:formula1>
          <xm:sqref>R288:S288 AL18:AM18 H415:I415 H305:I305 H315:I315 H325:I325 H335:I335 H345:I345 H355:I355 H365:I365 H375:I375 H385:I385 H395:I395 H405:I405 R9:S9 AB9:AC9 AL9:AM9 AB279:AC279 R18:S18 AB18:AC18 AB261:AC261 R27:S27 AB27:AC27 AL27:AM27 AL225:AM225 R36:S36 AB36:AC36 AL36:AM36 AL252:AM252 R45:S45 AB45:AC45 AL45:AM45 R297:S297 R54:S54 AB54:AC54 AL54:AM54 AB234:AC234 R63:S63 AB63:AC63 AL63:AM63 AL261:AM261 R72:S72 AB72:AC72 AL72:AM72 AL243:AM243 R81:S81 AB81:AC81 AL81:AM81 R243:S243 AL99:AM99 R90:S90 AB90:AC90 AL90:AM90 AB225:AC225 R99:S99 AB99:AC99 R279:S279 R108:S108 AB108:AC108 AL108:AM108 AB270:AC270 AL126:AM126 R117:S117 AB117:AC117 AL117:AM117 R270:S270 R126:S126 AB126:AC126 AL279:AM279 R135:S135 AB135:AC135 AL135:AM135 R234:S234 AL153:AM153 R144:S144 AB144:AC144 AL144:AM144 AB252:AC252 R153:S153 AB153:AC153 AL288:AM288 R162:S162 AB162:AC162 AL162:AM162 AB243:AC243 AL180:AM180 R171:S171 AB171:AC171 AL171:AM171 AB288:AC288 R180:S180 AB180:AC180 AL297:AM297 R189:S189 AB189:AC189 AL189:AM189 AB297:AC297 AL207:AM207 R198:S198 AB198:AC198 AL198:AM198 R261:S261 R207:S207 AB207:AC207 R252:S252 R216:S216 AB216:AC216 AL216:AM216 AL270:AM270 AL234:AM234 R225:S225</xm:sqref>
        </x14:dataValidation>
        <x14:dataValidation type="list" allowBlank="1" showInputMessage="1" showErrorMessage="1" xr:uid="{00000000-0002-0000-0000-000030000000}">
          <x14:formula1>
            <xm:f>Equipos!$B$2:$B$97</xm:f>
          </x14:formula1>
          <xm:sqref>B4 B292 B13 B274 B265 B256 B247 B238 B229 B220 B211 B202 B193 B184 B175 B166 B157 B148 B139 B130 B121 B112 B103 B94 B85 B76 B67 B58 B49 B40 B31 B22 B283</xm:sqref>
        </x14:dataValidation>
        <x14:dataValidation type="list" allowBlank="1" showInputMessage="1" showErrorMessage="1" xr:uid="{00000000-0002-0000-0000-000032000000}">
          <x14:formula1>
            <xm:f>Equipos!$B$2:$B$67</xm:f>
          </x14:formula1>
          <xm:sqref>E4:E10 O4:O10 Y4:Y10 AI4:AI10 E13:E19 E22:E28 E31:E37 E40:E46 E49:E55 E58:E64 E67:E73 E76:E82 E85:E91 E94:E100 E103:E109 E112:E118 E121:E127 E130:E136 E139:E145 E148:E154 E157:E163 E166:E172 E175:E181 E184:E190 E193:E199 E202:E208 E211:E217 E220:E226 E229:E235 E238:E244 E247:E253 E256:E262 E265:E271 E274:E280 E283:E289 E292:E298</xm:sqref>
        </x14:dataValidation>
        <x14:dataValidation type="list" allowBlank="1" showInputMessage="1" showErrorMessage="1" xr:uid="{00000000-0002-0000-0000-00002B000000}">
          <x14:formula1>
            <xm:f>Personal!$B$3:$B$54</xm:f>
          </x14:formula1>
          <xm:sqref>AJ34:AJ35 AJ27:AJ28 AJ18:AJ19 AJ9:AJ10 Z297:Z298 Z288:Z289 Z279:Z280 Z270:Z271 Z261:Z262 Z252:Z253 Z243:Z244 Z234:Z235 Z225:Z226 Z216:Z217 Z207:Z208 Z198:Z199 Z189:Z190 Z180:Z181 Z171:Z172 Z162:Z163 Z153:Z154 Z144:Z145 Z135:Z136 Z126:Z127 Z117:Z118 Z108:Z109 Z99:Z100 Z90:Z91 Z79:Z80 Z70:Z71 Z61:Z62 Z45:Z46 Z52:Z53 Z34:Z35 Z27:Z28 Z18:Z19 Z9:Z10 P297:P298 P288:P289 P279:P280 P270:P271 P261:P262 P252:P253 P243:P244 P234:P235 P225:P226 P216:P217 P207:P208 P198:P199 P189:P190 P180:P181 P171:P172 P162:P163 P153:P154 P144:P145 P135:P136 P126:P127 P117:P118 P108:P109 P99:P100 P90:P91 P79:P80 P70:P71 P61:P62 P45:P46 P52:P53 P34:P35 P27:P28 P18:P19 P9:P10 F297:F298 F288:F289 F279:F280 F270:F271 F261:F262 F252:F253 F243:F244 F234:F235 F225:F226 F216:F217 F207:F208 F198:F199 F189:F190 F180:F181 F171:F172 F162:F163 F153:F154 F144:F145 F135:F136 F126:F127 F117:F118 F108:F109 F99:F100 F90:F91 F79:F80 F70:F71 F61:F62 F45:F46 F52:F53 F34:F35 F27:F28 F18:F19 F9:F10 AJ180:AJ181 AJ283:AJ286 AJ274:AJ277 AJ265:AJ268 AJ256:AJ259 AJ247:AJ250 AJ238:AJ241 AJ229:AJ232 AJ220:AJ223 AJ211:AJ214 AJ202:AJ205 AJ193:AJ196 AJ184:AJ187 AJ175:AJ178 AJ166:AJ169 AJ157:AJ160 AJ148:AJ151 AJ139:AJ142 AJ130:AJ133 AJ121:AJ124 AJ112:AJ115 AJ103:AJ106 AJ94:AJ97 AJ85:AJ88 AJ76:AJ77 AJ67:AJ68 AJ58:AJ59 AJ40:AJ43 AJ49:AJ50 AJ31:AJ32 AJ22:AJ25 AJ13:AJ16 AJ4:AJ7 AH292:AH298 AH283:AH289 X256:X262 AH265:AH271 AJ252:AJ253 AH247:AH253 AH229:AH235 AH220:AH226 X274:X280 AH211:AH217 X202:X208 AH193:AH199 X184:X190 AH175:AH181 AH166:AH172 AH157:AH163 AH148:AH154 AH139:AH145 AH130:AH136 AH121:AH127 AH112:AH118 AH103:AH109 AH94:AH100 AH85:AH91 AH76:AH82 AH67:AH73 AH58:AH64 AH49:AH55 AH40:AH46 AH31:AH37 AH22:AH28 AH13:AH19 AH4:AH10 Z292:Z295 Z283:Z286 Z274:Z277 Z265:Z268 Z256:Z259 Z247:Z250 Z238:Z241 Z229:Z232 Z220:Z223 Z211:Z214 Z202:Z205 Z193:Z196 Z184:Z187 Z175:Z178 Z166:Z169 Z157:Z160 Z148:Z151 Z139:Z142 Z130:Z133 Z121:Z124 Z112:Z115 Z103:Z106 Z94:Z97 Z85:Z88 Z76:Z77 Z67:Z68 Z58:Z59 Z40:Z43 Z49:Z50 Z31:Z32 Z22:Z25 Z13:Z16 Z4:Z7 X292:X298 X283:X289 AH274:AH280 X265:X271 AH256:AH262 X247:X253 AH238:AH244 X238:X244 X229:X235 X211:X217 X220:X226 X193:X199 AH202:AH208 X175:X181 X166:X172 X157:X163 X148:X154 X139:X145 X130:X136 X121:X127 X112:X118 X103:X109 X94:X100 X85:X91 X76:X82 X67:X73 X58:X64 X49:X55 X40:X46 X31:X37 X22:X28 X13:X19 X4:X10 P292:P295 P283:P286 P274:P277 P265:P268 P256:P259 P247:P250 P238:P241 P229:P232 P220:P223 P211:P214 P202:P205 P193:P196 P184:P187 P175:P178 P166:P169 P157:P160 P148:P151 P139:P142 P130:P133 P121:P124 P112:P115 P103:P106 P94:P97 P85:P88 P76:P77 P67:P68 P58:P59 P40:P43 P49:P50 P31:P32 P22:P25 P13:P16 P4:P7 N292:N298 N274:N280 N256:N262 N265:N271 N238:N244 N247:N253 N229:N235 N220:N226 N202:N208 N211:N217 N184:N190 N193:N199 AJ292:AJ295 N175:N181 N166:N172 N157:N163 N148:N154 N139:N145 N130:N136 N121:N127 N112:N118 N103:N109 N94:N100 N85:N91 N76:N82 N67:N73 N58:N64 N49:N55 N40:N46 N31:N37 N22:N28 N13:N19 N4:N10 F292:F295 F283:F286 F274:F277 F265:F268 F256:F259 F247:F250 F238:F241 F229:F232 F220:F223 F211:F214 F202:F205 F193:F196 F184:F187 F175:F178 F166:F169 F157:F160 F148:F151 F139:F142 F130:F133 F121:F124 F112:F115 F103:F106 F94:F97 F85:F88 F76:F77 F67:F68 F58:F59 F40:F43 F49:F50 F31:F32 F22:F25 F13:F16 F4:F7 AJ79:AJ80 AJ117:AJ118 AJ279:AJ280 AJ135:AJ136 AJ61:AJ62 AJ108:AJ109 AJ261:AJ262 AJ297:AJ298 AH184:AH190 AJ70:AJ71 AJ126:AJ127 AJ144:AJ145 N283:N289 AJ52:AJ53 AJ225:AJ226 AJ90:AJ91 AJ153:AJ154 AJ288:AJ289 AJ162:AJ163 AJ171:AJ172 AJ243:AJ244 AJ198:AJ199 AJ207:AJ208 AJ216:AJ217 AJ99:AJ100 AJ189:AJ190 AJ234:AJ235 AJ270:AJ271 AJ45:AJ46</xm:sqref>
        </x14:dataValidation>
        <x14:dataValidation type="list" allowBlank="1" showInputMessage="1" showErrorMessage="1" xr:uid="{016BB9FD-74E7-41D3-A6FA-3AA89D61DB48}">
          <x14:formula1>
            <xm:f>Personal!$B$2:$B$53</xm:f>
          </x14:formula1>
          <xm:sqref>D4:D10 D292:D298 D256:D262 D166:D172 D184:D190 D229:D235 D220:D226 D211:D217 D202:D208 D193:D199 D247:D253 D265:D271 D76:D82 D157:D163 D148:D154 D139:D145 D130:D136 D121:D127 D112:D118 D103:D109 D94:D100 D85:D91 D238:D244 D67:D73 D58:D64 D49:D55 D40:D46 D31:D37 D22:D28 D13:D19 D274:D280 D283:D289 D175:D181</xm:sqref>
        </x14:dataValidation>
        <x14:dataValidation type="list" allowBlank="1" showInputMessage="1" showErrorMessage="1" xr:uid="{CD152978-107F-47EF-A568-5ED0EC1C03EF}">
          <x14:formula1>
            <xm:f>Verificador!$D$2:$D$7</xm:f>
          </x14:formula1>
          <xm:sqref>H9:I9 H36:I36 H18:I18 H27:I27 H45:I45 H54:I54 H63:I63 H72:I72 H81:I81 H297:I297 H99:I99 H108:I108 H117:I117 H126:I126 H135:I135 H279:I279 H153:I153 H162:I162 H234:I234 H180:I180 H189:I189 H288:I288 H198:I198 H216:I216 H90:I90 H207:I207 H243:I243 H252:I252 H261:I261 H270:I270 H144:I144 H225:I225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4"/>
  <dimension ref="A1:F54"/>
  <sheetViews>
    <sheetView topLeftCell="A16" zoomScale="106" zoomScaleNormal="106" workbookViewId="0">
      <selection activeCell="B4" sqref="B4"/>
    </sheetView>
  </sheetViews>
  <sheetFormatPr defaultColWidth="11.42578125" defaultRowHeight="14.45"/>
  <cols>
    <col min="1" max="1" width="8.42578125" style="161" customWidth="1"/>
    <col min="2" max="2" width="28.5703125" style="161" bestFit="1" customWidth="1"/>
    <col min="3" max="3" width="9.5703125" style="161" bestFit="1" customWidth="1"/>
    <col min="4" max="4" width="32.28515625" style="161" customWidth="1"/>
    <col min="5" max="5" width="27.28515625" style="161" customWidth="1"/>
    <col min="6" max="6" width="11.42578125" style="159" customWidth="1"/>
    <col min="7" max="16384" width="11.42578125" style="14"/>
  </cols>
  <sheetData>
    <row r="1" spans="1:6" s="156" customFormat="1" ht="28.9">
      <c r="A1" s="154" t="s">
        <v>104</v>
      </c>
      <c r="B1" s="154" t="s">
        <v>105</v>
      </c>
      <c r="C1" s="154" t="s">
        <v>106</v>
      </c>
      <c r="D1" s="154" t="s">
        <v>107</v>
      </c>
      <c r="E1" s="154" t="s">
        <v>108</v>
      </c>
      <c r="F1" s="155" t="s">
        <v>109</v>
      </c>
    </row>
    <row r="2" spans="1:6" ht="15" customHeight="1">
      <c r="A2" s="160" t="s">
        <v>110</v>
      </c>
      <c r="B2" s="44" t="s">
        <v>111</v>
      </c>
      <c r="C2" s="157"/>
      <c r="D2" s="158" t="s">
        <v>112</v>
      </c>
      <c r="E2" s="44" t="s">
        <v>113</v>
      </c>
      <c r="F2" s="159">
        <v>30867116</v>
      </c>
    </row>
    <row r="3" spans="1:6" ht="15" customHeight="1">
      <c r="A3" s="157" t="s">
        <v>114</v>
      </c>
      <c r="B3" s="44" t="s">
        <v>115</v>
      </c>
      <c r="C3" s="157" t="s">
        <v>116</v>
      </c>
      <c r="D3" s="158" t="s">
        <v>38</v>
      </c>
      <c r="E3" s="44" t="s">
        <v>117</v>
      </c>
      <c r="F3" s="159">
        <v>22141224</v>
      </c>
    </row>
    <row r="4" spans="1:6" ht="15" customHeight="1">
      <c r="A4" s="157" t="s">
        <v>118</v>
      </c>
      <c r="B4" s="44" t="s">
        <v>119</v>
      </c>
      <c r="C4" s="157" t="s">
        <v>120</v>
      </c>
      <c r="D4" s="158" t="s">
        <v>121</v>
      </c>
      <c r="E4" s="44" t="s">
        <v>122</v>
      </c>
      <c r="F4" s="159">
        <v>14673198</v>
      </c>
    </row>
    <row r="5" spans="1:6" ht="15" customHeight="1">
      <c r="A5" s="157" t="s">
        <v>123</v>
      </c>
      <c r="B5" s="44" t="s">
        <v>124</v>
      </c>
      <c r="C5" s="157" t="s">
        <v>125</v>
      </c>
      <c r="D5" s="158" t="s">
        <v>126</v>
      </c>
      <c r="E5" s="44" t="s">
        <v>127</v>
      </c>
      <c r="F5" s="159">
        <v>16826947</v>
      </c>
    </row>
    <row r="6" spans="1:6" ht="15" customHeight="1">
      <c r="A6" s="157" t="s">
        <v>128</v>
      </c>
      <c r="B6" s="44" t="s">
        <v>64</v>
      </c>
      <c r="C6" s="157"/>
      <c r="D6" s="158" t="s">
        <v>129</v>
      </c>
      <c r="E6" s="44" t="s">
        <v>127</v>
      </c>
      <c r="F6" s="159">
        <v>38048913</v>
      </c>
    </row>
    <row r="7" spans="1:6" ht="15" customHeight="1">
      <c r="A7" s="157" t="s">
        <v>118</v>
      </c>
      <c r="B7" s="44" t="s">
        <v>130</v>
      </c>
      <c r="C7" s="157" t="s">
        <v>131</v>
      </c>
      <c r="D7" s="158" t="s">
        <v>121</v>
      </c>
      <c r="E7" s="44" t="s">
        <v>132</v>
      </c>
      <c r="F7" s="159">
        <v>29435006</v>
      </c>
    </row>
    <row r="8" spans="1:6" ht="15" customHeight="1">
      <c r="A8" s="157" t="s">
        <v>118</v>
      </c>
      <c r="B8" s="44" t="s">
        <v>133</v>
      </c>
      <c r="C8" s="157" t="s">
        <v>134</v>
      </c>
      <c r="D8" s="158" t="s">
        <v>121</v>
      </c>
      <c r="E8" s="44" t="s">
        <v>135</v>
      </c>
      <c r="F8" s="188">
        <v>29822081</v>
      </c>
    </row>
    <row r="9" spans="1:6" ht="15" customHeight="1">
      <c r="A9" s="157" t="s">
        <v>114</v>
      </c>
      <c r="B9" s="44" t="s">
        <v>136</v>
      </c>
      <c r="C9" s="157" t="s">
        <v>137</v>
      </c>
      <c r="D9" s="158" t="s">
        <v>38</v>
      </c>
      <c r="E9" s="44" t="s">
        <v>138</v>
      </c>
      <c r="F9" s="159">
        <v>96288920</v>
      </c>
    </row>
    <row r="10" spans="1:6" ht="15" customHeight="1">
      <c r="A10" s="157" t="s">
        <v>118</v>
      </c>
      <c r="B10" s="44" t="s">
        <v>139</v>
      </c>
      <c r="C10" s="157" t="s">
        <v>140</v>
      </c>
      <c r="D10" s="158" t="s">
        <v>121</v>
      </c>
      <c r="E10" s="44" t="s">
        <v>127</v>
      </c>
      <c r="F10" s="159">
        <v>31835117</v>
      </c>
    </row>
    <row r="11" spans="1:6" ht="15.6">
      <c r="A11" s="157" t="s">
        <v>141</v>
      </c>
      <c r="B11" s="44" t="s">
        <v>142</v>
      </c>
      <c r="C11" s="157" t="s">
        <v>143</v>
      </c>
      <c r="D11" s="158" t="s">
        <v>144</v>
      </c>
      <c r="E11" s="44" t="s">
        <v>145</v>
      </c>
      <c r="F11" s="159">
        <v>18073045</v>
      </c>
    </row>
    <row r="12" spans="1:6" ht="15.6">
      <c r="A12" s="160" t="s">
        <v>110</v>
      </c>
      <c r="B12" s="44" t="s">
        <v>55</v>
      </c>
      <c r="C12" s="157"/>
      <c r="D12" s="158" t="s">
        <v>112</v>
      </c>
      <c r="E12" s="44" t="s">
        <v>146</v>
      </c>
      <c r="F12" s="159">
        <v>94340609</v>
      </c>
    </row>
    <row r="13" spans="1:6" ht="15" customHeight="1">
      <c r="A13" s="157" t="s">
        <v>114</v>
      </c>
      <c r="B13" s="44" t="s">
        <v>147</v>
      </c>
      <c r="C13" s="157" t="s">
        <v>148</v>
      </c>
      <c r="D13" s="158" t="s">
        <v>38</v>
      </c>
      <c r="E13" s="44" t="s">
        <v>149</v>
      </c>
      <c r="F13" s="159">
        <v>27899070</v>
      </c>
    </row>
    <row r="14" spans="1:6" ht="15" customHeight="1">
      <c r="A14" s="157" t="s">
        <v>118</v>
      </c>
      <c r="B14" s="44" t="s">
        <v>150</v>
      </c>
      <c r="C14" s="157" t="s">
        <v>151</v>
      </c>
      <c r="D14" s="158" t="s">
        <v>121</v>
      </c>
      <c r="E14" s="44" t="s">
        <v>152</v>
      </c>
      <c r="F14" s="159">
        <v>34534374</v>
      </c>
    </row>
    <row r="15" spans="1:6" ht="15" customHeight="1">
      <c r="A15" s="157" t="s">
        <v>128</v>
      </c>
      <c r="B15" s="44" t="s">
        <v>153</v>
      </c>
      <c r="C15" s="157" t="s">
        <v>154</v>
      </c>
      <c r="D15" s="158" t="s">
        <v>129</v>
      </c>
      <c r="E15" s="44" t="s">
        <v>146</v>
      </c>
      <c r="F15" s="159">
        <v>29578900</v>
      </c>
    </row>
    <row r="16" spans="1:6" ht="15" customHeight="1">
      <c r="A16" s="157" t="s">
        <v>141</v>
      </c>
      <c r="B16" s="44" t="s">
        <v>155</v>
      </c>
      <c r="C16" s="157" t="s">
        <v>156</v>
      </c>
      <c r="D16" s="158" t="s">
        <v>38</v>
      </c>
      <c r="E16" s="44" t="s">
        <v>149</v>
      </c>
      <c r="F16" s="159">
        <v>35380477</v>
      </c>
    </row>
    <row r="17" spans="1:6" ht="15" customHeight="1">
      <c r="A17" s="157" t="s">
        <v>114</v>
      </c>
      <c r="B17" s="44" t="s">
        <v>157</v>
      </c>
      <c r="C17" s="157" t="s">
        <v>158</v>
      </c>
      <c r="D17" s="158" t="s">
        <v>38</v>
      </c>
      <c r="E17" s="44" t="s">
        <v>159</v>
      </c>
      <c r="F17" s="159">
        <v>12933549</v>
      </c>
    </row>
    <row r="18" spans="1:6" ht="15" customHeight="1">
      <c r="A18" s="157" t="s">
        <v>123</v>
      </c>
      <c r="B18" s="164" t="s">
        <v>160</v>
      </c>
      <c r="C18" s="162" t="s">
        <v>161</v>
      </c>
      <c r="D18" s="163" t="s">
        <v>162</v>
      </c>
      <c r="E18" s="164"/>
      <c r="F18" s="159">
        <v>93759575</v>
      </c>
    </row>
    <row r="19" spans="1:6" ht="15" customHeight="1">
      <c r="A19" s="157" t="s">
        <v>123</v>
      </c>
      <c r="B19" s="164" t="s">
        <v>163</v>
      </c>
      <c r="C19" s="162" t="s">
        <v>164</v>
      </c>
      <c r="D19" s="163" t="s">
        <v>162</v>
      </c>
      <c r="E19" s="164"/>
      <c r="F19" s="159">
        <v>17196140</v>
      </c>
    </row>
    <row r="20" spans="1:6" ht="15" customHeight="1">
      <c r="A20" s="157" t="s">
        <v>123</v>
      </c>
      <c r="B20" s="164" t="s">
        <v>165</v>
      </c>
      <c r="C20" s="162" t="s">
        <v>166</v>
      </c>
      <c r="D20" s="163" t="s">
        <v>162</v>
      </c>
      <c r="E20" s="164"/>
      <c r="F20" s="159">
        <v>93759576</v>
      </c>
    </row>
    <row r="21" spans="1:6" ht="15" customHeight="1">
      <c r="A21" s="157" t="s">
        <v>123</v>
      </c>
      <c r="B21" s="164" t="s">
        <v>167</v>
      </c>
      <c r="C21" s="162" t="s">
        <v>168</v>
      </c>
      <c r="D21" s="163" t="s">
        <v>162</v>
      </c>
      <c r="E21" s="164"/>
      <c r="F21" s="159">
        <v>93759578</v>
      </c>
    </row>
    <row r="22" spans="1:6" ht="15" customHeight="1">
      <c r="A22" s="157" t="s">
        <v>123</v>
      </c>
      <c r="B22" s="44" t="s">
        <v>169</v>
      </c>
      <c r="C22" s="157" t="s">
        <v>170</v>
      </c>
      <c r="D22" s="158" t="s">
        <v>126</v>
      </c>
      <c r="E22" s="44" t="s">
        <v>171</v>
      </c>
      <c r="F22" s="159">
        <v>16750614</v>
      </c>
    </row>
    <row r="23" spans="1:6" ht="15" customHeight="1">
      <c r="A23" s="157" t="s">
        <v>172</v>
      </c>
      <c r="B23" s="44" t="s">
        <v>173</v>
      </c>
      <c r="C23" s="157" t="s">
        <v>174</v>
      </c>
      <c r="D23" s="158" t="s">
        <v>175</v>
      </c>
      <c r="E23" s="44" t="s">
        <v>176</v>
      </c>
      <c r="F23" s="159">
        <v>16032572</v>
      </c>
    </row>
    <row r="24" spans="1:6" ht="15" customHeight="1">
      <c r="A24" s="157" t="s">
        <v>128</v>
      </c>
      <c r="B24" s="44" t="s">
        <v>177</v>
      </c>
      <c r="C24" s="157" t="s">
        <v>178</v>
      </c>
      <c r="D24" s="158" t="s">
        <v>129</v>
      </c>
      <c r="E24" s="44" t="s">
        <v>113</v>
      </c>
      <c r="F24" s="159">
        <v>29679535</v>
      </c>
    </row>
    <row r="25" spans="1:6" ht="15" customHeight="1">
      <c r="A25" s="157" t="s">
        <v>118</v>
      </c>
      <c r="B25" s="44" t="s">
        <v>179</v>
      </c>
      <c r="C25" s="157" t="s">
        <v>180</v>
      </c>
      <c r="D25" s="158"/>
      <c r="E25" s="44" t="s">
        <v>146</v>
      </c>
      <c r="F25" s="159">
        <v>28451721</v>
      </c>
    </row>
    <row r="26" spans="1:6" ht="15" customHeight="1">
      <c r="A26" s="157" t="s">
        <v>114</v>
      </c>
      <c r="B26" s="44" t="s">
        <v>181</v>
      </c>
      <c r="C26" s="157" t="s">
        <v>182</v>
      </c>
      <c r="D26" s="158" t="s">
        <v>38</v>
      </c>
      <c r="E26" s="44" t="s">
        <v>171</v>
      </c>
      <c r="F26" s="159">
        <v>30531012</v>
      </c>
    </row>
    <row r="27" spans="1:6" ht="15" customHeight="1">
      <c r="A27" s="157" t="s">
        <v>183</v>
      </c>
      <c r="B27" s="44" t="s">
        <v>184</v>
      </c>
      <c r="C27" s="157" t="s">
        <v>180</v>
      </c>
      <c r="D27" s="158" t="s">
        <v>121</v>
      </c>
      <c r="E27" s="44" t="s">
        <v>146</v>
      </c>
      <c r="F27" s="159">
        <v>30436924</v>
      </c>
    </row>
    <row r="28" spans="1:6" ht="15" customHeight="1">
      <c r="A28" s="157" t="s">
        <v>172</v>
      </c>
      <c r="B28" s="44" t="s">
        <v>185</v>
      </c>
      <c r="C28" s="157" t="s">
        <v>186</v>
      </c>
      <c r="D28" s="158" t="s">
        <v>175</v>
      </c>
      <c r="E28" s="44" t="s">
        <v>187</v>
      </c>
      <c r="F28" s="159">
        <v>93066278</v>
      </c>
    </row>
    <row r="29" spans="1:6" ht="15" customHeight="1">
      <c r="A29" s="157" t="s">
        <v>172</v>
      </c>
      <c r="B29" s="44" t="s">
        <v>188</v>
      </c>
      <c r="C29" s="157" t="s">
        <v>189</v>
      </c>
      <c r="D29" s="158" t="s">
        <v>175</v>
      </c>
      <c r="E29" s="44" t="s">
        <v>190</v>
      </c>
      <c r="F29" s="159">
        <v>17335468</v>
      </c>
    </row>
    <row r="30" spans="1:6" ht="15" customHeight="1">
      <c r="A30" s="157" t="s">
        <v>128</v>
      </c>
      <c r="B30" s="44" t="s">
        <v>191</v>
      </c>
      <c r="C30" s="157" t="s">
        <v>192</v>
      </c>
      <c r="D30" s="158" t="s">
        <v>129</v>
      </c>
      <c r="E30" s="44" t="s">
        <v>127</v>
      </c>
      <c r="F30" s="159">
        <v>95839638</v>
      </c>
    </row>
    <row r="31" spans="1:6" ht="15" customHeight="1">
      <c r="A31" s="157" t="s">
        <v>123</v>
      </c>
      <c r="B31" s="44" t="s">
        <v>193</v>
      </c>
      <c r="C31" s="157" t="s">
        <v>194</v>
      </c>
      <c r="D31" s="158" t="s">
        <v>126</v>
      </c>
      <c r="E31" s="44" t="s">
        <v>146</v>
      </c>
      <c r="F31" s="159">
        <v>13662964</v>
      </c>
    </row>
    <row r="32" spans="1:6" ht="15" customHeight="1">
      <c r="A32" s="160" t="s">
        <v>195</v>
      </c>
      <c r="B32" s="44" t="s">
        <v>196</v>
      </c>
      <c r="C32" s="157" t="s">
        <v>197</v>
      </c>
      <c r="D32" s="158" t="s">
        <v>198</v>
      </c>
      <c r="E32" s="44" t="s">
        <v>152</v>
      </c>
      <c r="F32" s="159">
        <v>95978100</v>
      </c>
    </row>
    <row r="33" spans="1:6" ht="15.6">
      <c r="A33" s="157" t="s">
        <v>114</v>
      </c>
      <c r="B33" s="44" t="s">
        <v>199</v>
      </c>
      <c r="C33" s="157" t="s">
        <v>200</v>
      </c>
      <c r="D33" s="158" t="s">
        <v>38</v>
      </c>
      <c r="E33" s="44" t="s">
        <v>201</v>
      </c>
      <c r="F33" s="159">
        <v>42485087</v>
      </c>
    </row>
    <row r="34" spans="1:6" ht="15" customHeight="1">
      <c r="A34" s="157" t="s">
        <v>128</v>
      </c>
      <c r="B34" s="44" t="s">
        <v>202</v>
      </c>
      <c r="C34" s="157" t="s">
        <v>203</v>
      </c>
      <c r="D34" s="158" t="s">
        <v>129</v>
      </c>
      <c r="E34" s="44" t="s">
        <v>204</v>
      </c>
      <c r="F34" s="159">
        <v>30794363</v>
      </c>
    </row>
    <row r="35" spans="1:6" ht="15" customHeight="1">
      <c r="A35" s="160" t="s">
        <v>195</v>
      </c>
      <c r="B35" s="44" t="s">
        <v>205</v>
      </c>
      <c r="C35" s="157" t="s">
        <v>206</v>
      </c>
      <c r="D35" s="158" t="s">
        <v>198</v>
      </c>
      <c r="E35" s="44" t="s">
        <v>207</v>
      </c>
      <c r="F35" s="159">
        <v>32488934</v>
      </c>
    </row>
    <row r="36" spans="1:6" ht="15" customHeight="1">
      <c r="A36" s="160" t="s">
        <v>195</v>
      </c>
      <c r="B36" s="44" t="s">
        <v>208</v>
      </c>
      <c r="C36" s="157" t="s">
        <v>206</v>
      </c>
      <c r="D36" s="158" t="s">
        <v>198</v>
      </c>
      <c r="E36" s="44" t="s">
        <v>152</v>
      </c>
      <c r="F36" s="159">
        <v>43999809</v>
      </c>
    </row>
    <row r="37" spans="1:6" ht="15" customHeight="1">
      <c r="A37" s="157" t="s">
        <v>128</v>
      </c>
      <c r="B37" s="44" t="s">
        <v>209</v>
      </c>
      <c r="C37" s="157" t="s">
        <v>210</v>
      </c>
      <c r="D37" s="158" t="s">
        <v>129</v>
      </c>
      <c r="E37" s="44" t="s">
        <v>145</v>
      </c>
      <c r="F37" s="159">
        <v>28131112</v>
      </c>
    </row>
    <row r="38" spans="1:6" ht="15" customHeight="1">
      <c r="A38" s="160" t="s">
        <v>110</v>
      </c>
      <c r="B38" s="44" t="s">
        <v>211</v>
      </c>
      <c r="C38" s="157" t="s">
        <v>212</v>
      </c>
      <c r="D38" s="158" t="s">
        <v>112</v>
      </c>
      <c r="E38" s="44" t="s">
        <v>152</v>
      </c>
      <c r="F38" s="159">
        <v>43322432</v>
      </c>
    </row>
    <row r="39" spans="1:6" ht="15" customHeight="1">
      <c r="A39" s="157" t="s">
        <v>114</v>
      </c>
      <c r="B39" s="44" t="s">
        <v>213</v>
      </c>
      <c r="C39" s="157" t="s">
        <v>214</v>
      </c>
      <c r="D39" s="158" t="s">
        <v>38</v>
      </c>
      <c r="E39" s="44" t="s">
        <v>171</v>
      </c>
      <c r="F39" s="159">
        <v>31147991</v>
      </c>
    </row>
    <row r="40" spans="1:6" ht="15" customHeight="1">
      <c r="A40" s="157" t="s">
        <v>195</v>
      </c>
      <c r="B40" s="44" t="s">
        <v>215</v>
      </c>
      <c r="C40" s="157" t="s">
        <v>216</v>
      </c>
      <c r="D40" s="158" t="s">
        <v>198</v>
      </c>
      <c r="E40" s="44" t="s">
        <v>201</v>
      </c>
      <c r="F40" s="159">
        <v>93004858</v>
      </c>
    </row>
    <row r="41" spans="1:6" ht="15" customHeight="1">
      <c r="A41" s="157" t="s">
        <v>123</v>
      </c>
      <c r="B41" s="164" t="s">
        <v>44</v>
      </c>
      <c r="C41" s="162" t="s">
        <v>217</v>
      </c>
      <c r="D41" s="163" t="s">
        <v>162</v>
      </c>
      <c r="E41" s="164"/>
      <c r="F41" s="159">
        <v>33192185</v>
      </c>
    </row>
    <row r="42" spans="1:6" ht="15" customHeight="1">
      <c r="A42" s="160" t="s">
        <v>110</v>
      </c>
      <c r="B42" s="164" t="s">
        <v>218</v>
      </c>
      <c r="C42" s="162"/>
      <c r="D42" s="163" t="s">
        <v>112</v>
      </c>
      <c r="E42" s="164"/>
      <c r="F42" s="159">
        <v>43098545</v>
      </c>
    </row>
    <row r="43" spans="1:6" ht="15" customHeight="1">
      <c r="A43" s="157" t="s">
        <v>123</v>
      </c>
      <c r="B43" s="164" t="s">
        <v>72</v>
      </c>
      <c r="C43" s="162" t="s">
        <v>219</v>
      </c>
      <c r="D43" s="163" t="s">
        <v>126</v>
      </c>
      <c r="E43" s="44" t="s">
        <v>127</v>
      </c>
    </row>
    <row r="44" spans="1:6" ht="15.6">
      <c r="A44" s="157" t="s">
        <v>128</v>
      </c>
      <c r="B44" s="44" t="s">
        <v>220</v>
      </c>
      <c r="C44" s="162"/>
      <c r="D44" s="158" t="s">
        <v>129</v>
      </c>
      <c r="E44" s="44" t="s">
        <v>207</v>
      </c>
    </row>
    <row r="45" spans="1:6" ht="15.6">
      <c r="A45" s="157" t="s">
        <v>123</v>
      </c>
      <c r="B45" s="44" t="s">
        <v>19</v>
      </c>
      <c r="C45" s="162" t="s">
        <v>221</v>
      </c>
      <c r="D45" s="163" t="s">
        <v>162</v>
      </c>
      <c r="E45" s="44"/>
    </row>
    <row r="46" spans="1:6" ht="15.6">
      <c r="A46" s="157" t="s">
        <v>123</v>
      </c>
      <c r="B46" s="44" t="s">
        <v>16</v>
      </c>
      <c r="C46" s="162" t="s">
        <v>221</v>
      </c>
      <c r="D46" s="163" t="s">
        <v>162</v>
      </c>
      <c r="E46" s="44"/>
    </row>
    <row r="47" spans="1:6" ht="15.6">
      <c r="A47" s="157" t="s">
        <v>123</v>
      </c>
      <c r="B47" s="44" t="s">
        <v>85</v>
      </c>
      <c r="C47" s="162" t="s">
        <v>221</v>
      </c>
      <c r="D47" s="163" t="s">
        <v>162</v>
      </c>
    </row>
    <row r="48" spans="1:6" ht="15.6">
      <c r="A48" s="157" t="s">
        <v>123</v>
      </c>
      <c r="B48" s="44" t="s">
        <v>222</v>
      </c>
      <c r="C48" s="157" t="s">
        <v>223</v>
      </c>
      <c r="D48" s="158" t="s">
        <v>38</v>
      </c>
      <c r="E48" s="44" t="s">
        <v>201</v>
      </c>
      <c r="F48" s="159">
        <v>41745918</v>
      </c>
    </row>
    <row r="49" spans="1:6" ht="15.6">
      <c r="A49" s="157"/>
      <c r="B49" s="44" t="s">
        <v>224</v>
      </c>
      <c r="C49" s="157"/>
      <c r="D49" s="158" t="s">
        <v>175</v>
      </c>
      <c r="E49" s="44" t="s">
        <v>149</v>
      </c>
    </row>
    <row r="50" spans="1:6" ht="15.6">
      <c r="A50" s="157" t="s">
        <v>118</v>
      </c>
      <c r="B50" s="44" t="s">
        <v>225</v>
      </c>
      <c r="C50" s="157" t="s">
        <v>226</v>
      </c>
      <c r="D50" s="158" t="s">
        <v>121</v>
      </c>
      <c r="E50" s="44" t="s">
        <v>149</v>
      </c>
    </row>
    <row r="51" spans="1:6" ht="15.6">
      <c r="A51" s="157" t="s">
        <v>172</v>
      </c>
      <c r="B51" s="44" t="s">
        <v>227</v>
      </c>
      <c r="C51" s="157" t="s">
        <v>228</v>
      </c>
      <c r="D51" s="158" t="s">
        <v>175</v>
      </c>
      <c r="E51" s="44" t="s">
        <v>187</v>
      </c>
      <c r="F51" s="159">
        <v>28802906</v>
      </c>
    </row>
    <row r="52" spans="1:6" ht="15.6">
      <c r="A52" s="157" t="s">
        <v>123</v>
      </c>
      <c r="B52" s="44" t="s">
        <v>229</v>
      </c>
      <c r="C52" s="157" t="s">
        <v>230</v>
      </c>
      <c r="D52" s="158" t="s">
        <v>126</v>
      </c>
      <c r="E52" s="44" t="s">
        <v>231</v>
      </c>
      <c r="F52" s="159">
        <v>14456180</v>
      </c>
    </row>
    <row r="53" spans="1:6" ht="15.6">
      <c r="A53" s="157" t="s">
        <v>118</v>
      </c>
      <c r="B53" s="44" t="s">
        <v>232</v>
      </c>
      <c r="C53" s="160" t="s">
        <v>233</v>
      </c>
      <c r="D53" s="158" t="s">
        <v>121</v>
      </c>
      <c r="E53" s="44" t="s">
        <v>152</v>
      </c>
      <c r="F53" s="159">
        <v>42627763</v>
      </c>
    </row>
    <row r="54" spans="1:6" ht="15.6">
      <c r="A54" s="157"/>
      <c r="B54" s="44"/>
      <c r="C54" s="160"/>
      <c r="D54" s="158"/>
      <c r="E54" s="44"/>
    </row>
  </sheetData>
  <sortState xmlns:xlrd2="http://schemas.microsoft.com/office/spreadsheetml/2017/richdata2" ref="A3:H60">
    <sortCondition ref="B3:B60"/>
  </sortState>
  <pageMargins left="0.74803149606299213" right="0.74803149606299213" top="0.98425196850393704" bottom="0.98425196850393704" header="0" footer="0"/>
  <pageSetup paperSize="9" scale="9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0">
    <tabColor rgb="FF66FF33"/>
  </sheetPr>
  <dimension ref="B1:H13"/>
  <sheetViews>
    <sheetView topLeftCell="A4" workbookViewId="0">
      <selection activeCell="C8" sqref="C8"/>
    </sheetView>
  </sheetViews>
  <sheetFormatPr defaultColWidth="11.42578125" defaultRowHeight="13.15"/>
  <cols>
    <col min="1" max="1" width="11.42578125" style="178"/>
    <col min="2" max="4" width="21.140625" style="178" customWidth="1"/>
    <col min="5" max="16384" width="11.42578125" style="178"/>
  </cols>
  <sheetData>
    <row r="1" spans="2:8" s="20" customFormat="1" ht="18">
      <c r="C1" s="165"/>
      <c r="D1" s="165"/>
      <c r="E1" s="165"/>
      <c r="G1" s="165"/>
      <c r="H1" s="165"/>
    </row>
    <row r="3" spans="2:8" ht="28.9">
      <c r="B3" s="260" t="s">
        <v>234</v>
      </c>
      <c r="C3" s="260"/>
      <c r="D3" s="260"/>
    </row>
    <row r="4" spans="2:8" ht="30" customHeight="1">
      <c r="E4" s="181"/>
      <c r="F4" s="181"/>
      <c r="G4" s="181"/>
    </row>
    <row r="5" spans="2:8" s="182" customFormat="1" ht="30.75" customHeight="1">
      <c r="B5" s="183" t="s">
        <v>0</v>
      </c>
      <c r="C5" s="184">
        <f>+Operacion!D1</f>
        <v>46278</v>
      </c>
    </row>
    <row r="6" spans="2:8" ht="13.9" thickBot="1"/>
    <row r="7" spans="2:8" ht="27.75" customHeight="1">
      <c r="B7" s="257" t="s">
        <v>24</v>
      </c>
      <c r="C7" s="258"/>
      <c r="D7" s="259"/>
    </row>
    <row r="8" spans="2:8" ht="14.45">
      <c r="B8" s="176" t="s">
        <v>235</v>
      </c>
      <c r="C8" s="176" t="s">
        <v>16</v>
      </c>
      <c r="D8" s="179">
        <f t="shared" ref="D8:D13" si="0">VLOOKUP(C8,personal,5)</f>
        <v>0</v>
      </c>
    </row>
    <row r="9" spans="2:8" ht="14.45">
      <c r="B9" s="176" t="s">
        <v>235</v>
      </c>
      <c r="C9" s="176" t="s">
        <v>16</v>
      </c>
      <c r="D9" s="179">
        <f t="shared" si="0"/>
        <v>0</v>
      </c>
    </row>
    <row r="10" spans="2:8" ht="14.45">
      <c r="B10" s="176" t="s">
        <v>236</v>
      </c>
      <c r="C10" s="176" t="s">
        <v>16</v>
      </c>
      <c r="D10" s="179">
        <f t="shared" si="0"/>
        <v>0</v>
      </c>
    </row>
    <row r="11" spans="2:8" ht="14.45">
      <c r="B11" s="176" t="s">
        <v>236</v>
      </c>
      <c r="C11" s="176" t="s">
        <v>16</v>
      </c>
      <c r="D11" s="179">
        <f t="shared" si="0"/>
        <v>0</v>
      </c>
    </row>
    <row r="12" spans="2:8" ht="14.45">
      <c r="B12" s="176" t="s">
        <v>204</v>
      </c>
      <c r="C12" s="176" t="s">
        <v>19</v>
      </c>
      <c r="D12" s="179">
        <f t="shared" si="0"/>
        <v>0</v>
      </c>
    </row>
    <row r="13" spans="2:8" ht="15" thickBot="1">
      <c r="B13" s="180" t="s">
        <v>204</v>
      </c>
      <c r="C13" s="176" t="s">
        <v>19</v>
      </c>
      <c r="D13" s="179">
        <f t="shared" si="0"/>
        <v>0</v>
      </c>
    </row>
  </sheetData>
  <sheetProtection algorithmName="SHA-512" hashValue="T9j08Rek3+u7X+Bf8IzmaZDg7+cmwVAUpbiOhARNuhyFNulRjgfiqUWSTQzXjVJPPp+YyJqT/PSGNV/SjOVJJw==" saltValue="CQubBljlaFMHz2rIRL8Iaw==" spinCount="100000" sheet="1" objects="1" scenarios="1"/>
  <mergeCells count="2">
    <mergeCell ref="B7:D7"/>
    <mergeCell ref="B3:D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Personal!$B$3:$B$53</xm:f>
          </x14:formula1>
          <xm:sqref>C8:C13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7"/>
  <dimension ref="A1:H74"/>
  <sheetViews>
    <sheetView showGridLines="0" workbookViewId="0">
      <selection activeCell="G10" sqref="G10"/>
    </sheetView>
  </sheetViews>
  <sheetFormatPr defaultColWidth="11.42578125" defaultRowHeight="18"/>
  <cols>
    <col min="1" max="1" width="14.140625" style="61" bestFit="1" customWidth="1"/>
    <col min="2" max="2" width="26.140625" style="62" bestFit="1" customWidth="1"/>
    <col min="3" max="3" width="29.5703125" style="62" bestFit="1" customWidth="1"/>
    <col min="4" max="4" width="10.85546875" style="62" bestFit="1" customWidth="1"/>
    <col min="5" max="5" width="23.42578125" style="62" bestFit="1" customWidth="1"/>
    <col min="6" max="6" width="5.5703125" style="61" customWidth="1"/>
    <col min="7" max="7" width="22.85546875" style="62" bestFit="1" customWidth="1"/>
    <col min="8" max="8" width="53.7109375" style="62" customWidth="1"/>
    <col min="9" max="16384" width="11.42578125" style="61"/>
  </cols>
  <sheetData>
    <row r="1" spans="1:8" ht="23.45">
      <c r="A1" s="85" t="s">
        <v>0</v>
      </c>
      <c r="B1" s="86">
        <f>+Operacion!D1</f>
        <v>46278</v>
      </c>
    </row>
    <row r="2" spans="1:8" ht="18.600000000000001" thickBot="1"/>
    <row r="3" spans="1:8" ht="18.600000000000001" thickBot="1">
      <c r="A3" s="87" t="s">
        <v>237</v>
      </c>
      <c r="B3" s="88" t="s">
        <v>238</v>
      </c>
      <c r="C3" s="88" t="s">
        <v>239</v>
      </c>
      <c r="D3" s="88" t="s">
        <v>240</v>
      </c>
      <c r="E3" s="88" t="s">
        <v>241</v>
      </c>
      <c r="F3" s="89"/>
      <c r="G3" s="90"/>
      <c r="H3" s="91"/>
    </row>
    <row r="4" spans="1:8" ht="24" thickBot="1">
      <c r="A4" s="92" t="str">
        <f>+Operacion!B300</f>
        <v>GDU800</v>
      </c>
      <c r="B4" s="63">
        <f>VLOOKUP(A4,tablaequipo,3)</f>
        <v>0</v>
      </c>
      <c r="C4" s="63" t="str">
        <f>VLOOKUP(A4,tablaequipo,4)</f>
        <v>Camion</v>
      </c>
      <c r="D4" s="63">
        <f>VLOOKUP(A4,tablaequipo,5)</f>
        <v>0</v>
      </c>
      <c r="E4" s="63" t="str">
        <f>VLOOKUP(A4,tablaequipo,6)</f>
        <v>Alquiler Camion</v>
      </c>
      <c r="G4" s="93" t="s">
        <v>242</v>
      </c>
      <c r="H4" s="94">
        <f>+Operacion!H301</f>
        <v>0</v>
      </c>
    </row>
    <row r="5" spans="1:8" ht="18.600000000000001" thickBot="1">
      <c r="A5" s="95"/>
      <c r="G5" s="93" t="s">
        <v>21</v>
      </c>
      <c r="H5" s="94">
        <f>+Operacion!H302</f>
        <v>0</v>
      </c>
    </row>
    <row r="6" spans="1:8">
      <c r="A6" s="95"/>
      <c r="B6" s="63" t="str">
        <f>+Operacion!D303</f>
        <v>TRANS001</v>
      </c>
      <c r="C6" s="63" t="str">
        <f>+Operacion!D304</f>
        <v>Transporte Montera</v>
      </c>
      <c r="E6" s="103" t="s">
        <v>88</v>
      </c>
      <c r="G6" s="93" t="s">
        <v>22</v>
      </c>
      <c r="H6" s="94">
        <f>+Operacion!L302</f>
        <v>0</v>
      </c>
    </row>
    <row r="7" spans="1:8" ht="18.600000000000001" thickBot="1">
      <c r="A7" s="95"/>
      <c r="B7" s="63" t="str">
        <f>+Operacion!D305</f>
        <v>TIPO</v>
      </c>
      <c r="C7" s="63" t="str">
        <f>+Operacion!D306</f>
        <v xml:space="preserve">Seleccione Tipo </v>
      </c>
      <c r="E7" s="104">
        <f>+Operacion!F304</f>
        <v>0</v>
      </c>
      <c r="H7" s="96"/>
    </row>
    <row r="8" spans="1:8" ht="18.600000000000001" thickBot="1">
      <c r="A8" s="95"/>
      <c r="G8" s="93" t="s">
        <v>243</v>
      </c>
      <c r="H8" s="94">
        <f>+Operacion!H303</f>
        <v>0</v>
      </c>
    </row>
    <row r="9" spans="1:8">
      <c r="A9" s="95"/>
      <c r="B9" s="93" t="s">
        <v>107</v>
      </c>
      <c r="C9" s="84" t="str">
        <f>+Operacion!G299</f>
        <v>Seleccione Empresa</v>
      </c>
      <c r="E9" s="103" t="s">
        <v>244</v>
      </c>
      <c r="G9" s="93" t="s">
        <v>21</v>
      </c>
      <c r="H9" s="94">
        <f>+Operacion!H304</f>
        <v>0</v>
      </c>
    </row>
    <row r="10" spans="1:8" ht="18.600000000000001" thickBot="1">
      <c r="A10" s="95"/>
      <c r="B10" s="93" t="s">
        <v>245</v>
      </c>
      <c r="C10" s="63">
        <f>+Operacion!H300</f>
        <v>0</v>
      </c>
      <c r="E10" s="102">
        <f>+Operacion!L299</f>
        <v>0</v>
      </c>
      <c r="G10" s="93" t="s">
        <v>246</v>
      </c>
      <c r="H10" s="94">
        <f>+Operacion!L304</f>
        <v>0</v>
      </c>
    </row>
    <row r="11" spans="1:8">
      <c r="A11" s="95"/>
      <c r="B11" s="93" t="s">
        <v>86</v>
      </c>
      <c r="C11" s="84">
        <f>+Operacion!L300</f>
        <v>0</v>
      </c>
      <c r="H11" s="96"/>
    </row>
    <row r="12" spans="1:8">
      <c r="A12" s="95"/>
      <c r="H12" s="96"/>
    </row>
    <row r="13" spans="1:8">
      <c r="A13" s="95"/>
      <c r="B13" s="93" t="s">
        <v>247</v>
      </c>
      <c r="C13" s="84" t="str">
        <f>+Operacion!D300</f>
        <v>Seleccione Contactos GD</v>
      </c>
      <c r="G13" s="261" t="s">
        <v>248</v>
      </c>
      <c r="H13" s="263">
        <f>+Operacion!H306</f>
        <v>0</v>
      </c>
    </row>
    <row r="14" spans="1:8" ht="18.600000000000001" thickBot="1">
      <c r="A14" s="97"/>
      <c r="B14" s="98" t="s">
        <v>246</v>
      </c>
      <c r="C14" s="99">
        <f>+Operacion!F300</f>
        <v>0</v>
      </c>
      <c r="D14" s="100"/>
      <c r="E14" s="100"/>
      <c r="F14" s="101"/>
      <c r="G14" s="262"/>
      <c r="H14" s="264"/>
    </row>
    <row r="15" spans="1:8" ht="18.600000000000001" thickBot="1">
      <c r="A15" s="87" t="s">
        <v>237</v>
      </c>
      <c r="B15" s="88" t="s">
        <v>238</v>
      </c>
      <c r="C15" s="88" t="s">
        <v>239</v>
      </c>
      <c r="D15" s="88" t="s">
        <v>240</v>
      </c>
      <c r="E15" s="88" t="s">
        <v>241</v>
      </c>
      <c r="F15" s="89"/>
      <c r="G15" s="90"/>
      <c r="H15" s="91"/>
    </row>
    <row r="16" spans="1:8" ht="24" thickBot="1">
      <c r="A16" s="92" t="str">
        <f>+Operacion!B310</f>
        <v>GDU801</v>
      </c>
      <c r="B16" s="63">
        <f>VLOOKUP(A16,tablaequipo,3)</f>
        <v>0</v>
      </c>
      <c r="C16" s="63" t="str">
        <f>VLOOKUP(A16,tablaequipo,4)</f>
        <v>Camion</v>
      </c>
      <c r="D16" s="63">
        <f>VLOOKUP(A16,tablaequipo,5)</f>
        <v>0</v>
      </c>
      <c r="E16" s="63" t="str">
        <f>VLOOKUP(A16,tablaequipo,6)</f>
        <v>Alquiler Camion</v>
      </c>
      <c r="G16" s="93" t="s">
        <v>242</v>
      </c>
      <c r="H16" s="94">
        <f>+Operacion!H311</f>
        <v>0</v>
      </c>
    </row>
    <row r="17" spans="1:8" ht="18.600000000000001" thickBot="1">
      <c r="A17" s="95"/>
      <c r="G17" s="93" t="s">
        <v>21</v>
      </c>
      <c r="H17" s="94">
        <f>+Operacion!H312</f>
        <v>0</v>
      </c>
    </row>
    <row r="18" spans="1:8" ht="18.600000000000001" thickBot="1">
      <c r="A18" s="95"/>
      <c r="B18" s="63" t="str">
        <f>+Operacion!D313</f>
        <v>TRANS001</v>
      </c>
      <c r="C18" s="63" t="str">
        <f>+Operacion!D314</f>
        <v>Transporte Montera</v>
      </c>
      <c r="E18" s="103" t="s">
        <v>88</v>
      </c>
      <c r="G18" s="98" t="s">
        <v>246</v>
      </c>
      <c r="H18" s="94">
        <f>+Operacion!L312</f>
        <v>0</v>
      </c>
    </row>
    <row r="19" spans="1:8" ht="18.600000000000001" thickBot="1">
      <c r="A19" s="95"/>
      <c r="B19" s="63" t="str">
        <f>+Operacion!D315</f>
        <v>TIPO</v>
      </c>
      <c r="C19" s="63" t="str">
        <f>+Operacion!D316</f>
        <v xml:space="preserve">Seleccione Tipo </v>
      </c>
      <c r="E19" s="104">
        <f>+Operacion!F314</f>
        <v>0</v>
      </c>
      <c r="H19" s="96"/>
    </row>
    <row r="20" spans="1:8" ht="18.600000000000001" thickBot="1">
      <c r="A20" s="95"/>
      <c r="G20" s="93" t="s">
        <v>243</v>
      </c>
      <c r="H20" s="94">
        <f>+Operacion!H313</f>
        <v>0</v>
      </c>
    </row>
    <row r="21" spans="1:8">
      <c r="A21" s="95"/>
      <c r="B21" s="93" t="s">
        <v>107</v>
      </c>
      <c r="C21" s="84" t="str">
        <f>+Operacion!G309</f>
        <v>Seleccione Empresa</v>
      </c>
      <c r="E21" s="103" t="s">
        <v>244</v>
      </c>
      <c r="G21" s="93" t="s">
        <v>21</v>
      </c>
      <c r="H21" s="94">
        <f>+Operacion!H314</f>
        <v>0</v>
      </c>
    </row>
    <row r="22" spans="1:8" ht="18.600000000000001" thickBot="1">
      <c r="A22" s="95"/>
      <c r="B22" s="93" t="s">
        <v>245</v>
      </c>
      <c r="C22" s="63">
        <f>+Operacion!H310</f>
        <v>0</v>
      </c>
      <c r="E22" s="102">
        <f>+Operacion!L309</f>
        <v>0</v>
      </c>
      <c r="G22" s="98" t="s">
        <v>246</v>
      </c>
      <c r="H22" s="94">
        <f>+Operacion!L314</f>
        <v>0</v>
      </c>
    </row>
    <row r="23" spans="1:8">
      <c r="A23" s="95"/>
      <c r="B23" s="93" t="s">
        <v>86</v>
      </c>
      <c r="C23" s="84">
        <f>+Operacion!L310</f>
        <v>0</v>
      </c>
      <c r="H23" s="96"/>
    </row>
    <row r="24" spans="1:8">
      <c r="A24" s="95"/>
      <c r="H24" s="96"/>
    </row>
    <row r="25" spans="1:8" ht="18.75" customHeight="1">
      <c r="A25" s="95"/>
      <c r="B25" s="93" t="s">
        <v>247</v>
      </c>
      <c r="C25" s="84" t="str">
        <f>+Operacion!D310</f>
        <v>Seleccione Contactos GD</v>
      </c>
      <c r="G25" s="261" t="s">
        <v>248</v>
      </c>
      <c r="H25" s="263">
        <f>+Operacion!H316</f>
        <v>0</v>
      </c>
    </row>
    <row r="26" spans="1:8" ht="18.600000000000001" thickBot="1">
      <c r="A26" s="97"/>
      <c r="B26" s="98" t="s">
        <v>246</v>
      </c>
      <c r="C26" s="99">
        <f>+Operacion!F310</f>
        <v>0</v>
      </c>
      <c r="D26" s="100"/>
      <c r="E26" s="100"/>
      <c r="F26" s="101"/>
      <c r="G26" s="262"/>
      <c r="H26" s="264"/>
    </row>
    <row r="27" spans="1:8" ht="18.600000000000001" thickBot="1">
      <c r="A27" s="87" t="s">
        <v>237</v>
      </c>
      <c r="B27" s="88" t="s">
        <v>238</v>
      </c>
      <c r="C27" s="88" t="s">
        <v>239</v>
      </c>
      <c r="D27" s="88" t="s">
        <v>240</v>
      </c>
      <c r="E27" s="88" t="s">
        <v>241</v>
      </c>
      <c r="F27" s="89"/>
      <c r="G27" s="90"/>
      <c r="H27" s="91"/>
    </row>
    <row r="28" spans="1:8" ht="24" thickBot="1">
      <c r="A28" s="92" t="str">
        <f>+Operacion!B320</f>
        <v>GDU802</v>
      </c>
      <c r="B28" s="63">
        <f>VLOOKUP(A28,tablaequipo,3)</f>
        <v>0</v>
      </c>
      <c r="C28" s="63" t="str">
        <f>VLOOKUP(A28,tablaequipo,4)</f>
        <v>Camion</v>
      </c>
      <c r="D28" s="63">
        <f>VLOOKUP(A28,tablaequipo,5)</f>
        <v>0</v>
      </c>
      <c r="E28" s="63" t="str">
        <f>VLOOKUP(A28,tablaequipo,6)</f>
        <v>Alquiler Camion</v>
      </c>
      <c r="G28" s="93" t="s">
        <v>242</v>
      </c>
      <c r="H28" s="94">
        <f>+Operacion!H321</f>
        <v>0</v>
      </c>
    </row>
    <row r="29" spans="1:8" ht="18.600000000000001" thickBot="1">
      <c r="A29" s="95"/>
      <c r="G29" s="93" t="s">
        <v>21</v>
      </c>
      <c r="H29" s="94">
        <f>+Operacion!H322</f>
        <v>0</v>
      </c>
    </row>
    <row r="30" spans="1:8" ht="18.600000000000001" thickBot="1">
      <c r="A30" s="95"/>
      <c r="B30" s="63" t="str">
        <f>+Operacion!D323</f>
        <v>TRANS001</v>
      </c>
      <c r="C30" s="63" t="str">
        <f>+Operacion!D324</f>
        <v>Transporte Montera</v>
      </c>
      <c r="E30" s="103" t="s">
        <v>88</v>
      </c>
      <c r="G30" s="98" t="s">
        <v>246</v>
      </c>
      <c r="H30" s="94">
        <f>+Operacion!L322</f>
        <v>0</v>
      </c>
    </row>
    <row r="31" spans="1:8" ht="18.600000000000001" thickBot="1">
      <c r="A31" s="95"/>
      <c r="B31" s="63" t="str">
        <f>+Operacion!D325</f>
        <v>TIPO</v>
      </c>
      <c r="C31" s="63" t="str">
        <f>+Operacion!D326</f>
        <v xml:space="preserve">Seleccione Tipo </v>
      </c>
      <c r="E31" s="104">
        <f>+Operacion!F324</f>
        <v>0</v>
      </c>
      <c r="H31" s="96"/>
    </row>
    <row r="32" spans="1:8" ht="18.600000000000001" thickBot="1">
      <c r="A32" s="95"/>
      <c r="G32" s="93" t="s">
        <v>243</v>
      </c>
      <c r="H32" s="94">
        <f>+Operacion!H323</f>
        <v>0</v>
      </c>
    </row>
    <row r="33" spans="1:8">
      <c r="A33" s="95"/>
      <c r="B33" s="93" t="s">
        <v>107</v>
      </c>
      <c r="C33" s="84" t="str">
        <f>+Operacion!G319</f>
        <v>Seleccione Empresa</v>
      </c>
      <c r="E33" s="103" t="s">
        <v>244</v>
      </c>
      <c r="G33" s="93" t="s">
        <v>21</v>
      </c>
      <c r="H33" s="94">
        <f>+Operacion!H324</f>
        <v>0</v>
      </c>
    </row>
    <row r="34" spans="1:8" ht="18.600000000000001" thickBot="1">
      <c r="A34" s="95"/>
      <c r="B34" s="93" t="s">
        <v>245</v>
      </c>
      <c r="C34" s="63">
        <f>+Operacion!H320</f>
        <v>0</v>
      </c>
      <c r="E34" s="102">
        <f>+Operacion!L319</f>
        <v>0</v>
      </c>
      <c r="G34" s="98" t="s">
        <v>246</v>
      </c>
      <c r="H34" s="94">
        <f>+Operacion!L324</f>
        <v>0</v>
      </c>
    </row>
    <row r="35" spans="1:8">
      <c r="A35" s="95"/>
      <c r="B35" s="93" t="s">
        <v>86</v>
      </c>
      <c r="C35" s="84">
        <f>+Operacion!L320</f>
        <v>0</v>
      </c>
      <c r="H35" s="96"/>
    </row>
    <row r="36" spans="1:8">
      <c r="A36" s="95"/>
      <c r="H36" s="96"/>
    </row>
    <row r="37" spans="1:8">
      <c r="A37" s="95"/>
      <c r="B37" s="93" t="s">
        <v>247</v>
      </c>
      <c r="C37" s="84" t="str">
        <f>+Operacion!D320</f>
        <v>Seleccione Contactos GD</v>
      </c>
      <c r="G37" s="261" t="s">
        <v>248</v>
      </c>
      <c r="H37" s="263">
        <f>+Operacion!H326</f>
        <v>0</v>
      </c>
    </row>
    <row r="38" spans="1:8" ht="18.600000000000001" thickBot="1">
      <c r="A38" s="97"/>
      <c r="B38" s="98" t="s">
        <v>246</v>
      </c>
      <c r="C38" s="99">
        <f>+Operacion!F320</f>
        <v>0</v>
      </c>
      <c r="D38" s="100"/>
      <c r="E38" s="100"/>
      <c r="F38" s="101"/>
      <c r="G38" s="262"/>
      <c r="H38" s="264"/>
    </row>
    <row r="39" spans="1:8" ht="18.600000000000001" thickBot="1">
      <c r="A39" s="87" t="s">
        <v>237</v>
      </c>
      <c r="B39" s="88" t="s">
        <v>238</v>
      </c>
      <c r="C39" s="88" t="s">
        <v>239</v>
      </c>
      <c r="D39" s="88" t="s">
        <v>240</v>
      </c>
      <c r="E39" s="88" t="s">
        <v>241</v>
      </c>
      <c r="F39" s="89"/>
      <c r="G39" s="90"/>
      <c r="H39" s="91"/>
    </row>
    <row r="40" spans="1:8" ht="24" thickBot="1">
      <c r="A40" s="92" t="str">
        <f>+Operacion!B330</f>
        <v>GDU803</v>
      </c>
      <c r="B40" s="63">
        <f>VLOOKUP(A40,tablaequipo,3)</f>
        <v>0</v>
      </c>
      <c r="C40" s="63" t="str">
        <f>VLOOKUP(A40,tablaequipo,4)</f>
        <v>Camion</v>
      </c>
      <c r="D40" s="63">
        <f>VLOOKUP(A40,tablaequipo,5)</f>
        <v>0</v>
      </c>
      <c r="E40" s="63" t="str">
        <f>VLOOKUP(A40,tablaequipo,6)</f>
        <v>Alquiler Camion</v>
      </c>
      <c r="G40" s="93" t="s">
        <v>242</v>
      </c>
      <c r="H40" s="94">
        <f>+Operacion!H331</f>
        <v>0</v>
      </c>
    </row>
    <row r="41" spans="1:8" ht="18.600000000000001" thickBot="1">
      <c r="A41" s="95"/>
      <c r="G41" s="93" t="s">
        <v>21</v>
      </c>
      <c r="H41" s="94">
        <f>+Operacion!H332</f>
        <v>0</v>
      </c>
    </row>
    <row r="42" spans="1:8" ht="18.600000000000001" thickBot="1">
      <c r="A42" s="95"/>
      <c r="B42" s="63" t="str">
        <f>+Operacion!D333</f>
        <v>TRANS001</v>
      </c>
      <c r="C42" s="63" t="str">
        <f>+Operacion!D334</f>
        <v>Transporte Montera</v>
      </c>
      <c r="E42" s="103" t="s">
        <v>88</v>
      </c>
      <c r="G42" s="98" t="s">
        <v>246</v>
      </c>
      <c r="H42" s="94">
        <f>+Operacion!L332</f>
        <v>0</v>
      </c>
    </row>
    <row r="43" spans="1:8" ht="18.600000000000001" thickBot="1">
      <c r="A43" s="95"/>
      <c r="B43" s="63" t="str">
        <f>+Operacion!D335</f>
        <v>TIPO</v>
      </c>
      <c r="C43" s="63" t="str">
        <f>+Operacion!D336</f>
        <v xml:space="preserve">Seleccione Tipo </v>
      </c>
      <c r="E43" s="104">
        <f>+Operacion!F334</f>
        <v>0</v>
      </c>
      <c r="H43" s="96"/>
    </row>
    <row r="44" spans="1:8" ht="18.600000000000001" thickBot="1">
      <c r="A44" s="95"/>
      <c r="G44" s="93" t="s">
        <v>243</v>
      </c>
      <c r="H44" s="94">
        <f>+Operacion!H333</f>
        <v>0</v>
      </c>
    </row>
    <row r="45" spans="1:8">
      <c r="A45" s="95"/>
      <c r="B45" s="93" t="s">
        <v>107</v>
      </c>
      <c r="C45" s="84" t="str">
        <f>+Operacion!G329</f>
        <v>Seleccione Empresa</v>
      </c>
      <c r="E45" s="103" t="s">
        <v>244</v>
      </c>
      <c r="G45" s="93" t="s">
        <v>21</v>
      </c>
      <c r="H45" s="94">
        <f>+Operacion!H334</f>
        <v>0</v>
      </c>
    </row>
    <row r="46" spans="1:8" ht="18.600000000000001" thickBot="1">
      <c r="A46" s="95"/>
      <c r="B46" s="93" t="s">
        <v>245</v>
      </c>
      <c r="C46" s="63">
        <f>+Operacion!H330</f>
        <v>0</v>
      </c>
      <c r="E46" s="102">
        <f>+Operacion!L329</f>
        <v>0</v>
      </c>
      <c r="G46" s="98" t="s">
        <v>246</v>
      </c>
      <c r="H46" s="94">
        <f>+Operacion!L334</f>
        <v>0</v>
      </c>
    </row>
    <row r="47" spans="1:8">
      <c r="A47" s="95"/>
      <c r="B47" s="93" t="s">
        <v>86</v>
      </c>
      <c r="C47" s="84">
        <f>+Operacion!L330</f>
        <v>0</v>
      </c>
      <c r="H47" s="96"/>
    </row>
    <row r="48" spans="1:8">
      <c r="A48" s="95"/>
      <c r="H48" s="96"/>
    </row>
    <row r="49" spans="1:8" ht="18.75" customHeight="1">
      <c r="A49" s="95"/>
      <c r="B49" s="93" t="s">
        <v>247</v>
      </c>
      <c r="C49" s="84" t="str">
        <f>+Operacion!D330</f>
        <v>Seleccione Contactos GD</v>
      </c>
      <c r="G49" s="261" t="s">
        <v>248</v>
      </c>
      <c r="H49" s="263">
        <f>+Operacion!H336</f>
        <v>0</v>
      </c>
    </row>
    <row r="50" spans="1:8" ht="18.600000000000001" thickBot="1">
      <c r="A50" s="97"/>
      <c r="B50" s="98" t="s">
        <v>246</v>
      </c>
      <c r="C50" s="99">
        <f>+Operacion!F330</f>
        <v>0</v>
      </c>
      <c r="D50" s="100"/>
      <c r="E50" s="100"/>
      <c r="F50" s="101"/>
      <c r="G50" s="262"/>
      <c r="H50" s="264"/>
    </row>
    <row r="51" spans="1:8" ht="18.600000000000001" thickBot="1">
      <c r="A51" s="87" t="s">
        <v>237</v>
      </c>
      <c r="B51" s="88" t="s">
        <v>238</v>
      </c>
      <c r="C51" s="88" t="s">
        <v>239</v>
      </c>
      <c r="D51" s="88" t="s">
        <v>240</v>
      </c>
      <c r="E51" s="88" t="s">
        <v>241</v>
      </c>
      <c r="F51" s="89"/>
      <c r="G51" s="90"/>
      <c r="H51" s="91"/>
    </row>
    <row r="52" spans="1:8" ht="24" thickBot="1">
      <c r="A52" s="92" t="str">
        <f>+Operacion!B340</f>
        <v>GDU804</v>
      </c>
      <c r="B52" s="63">
        <f>VLOOKUP(A52,tablaequipo,3)</f>
        <v>0</v>
      </c>
      <c r="C52" s="63" t="str">
        <f>VLOOKUP(A52,tablaequipo,4)</f>
        <v>Camion</v>
      </c>
      <c r="D52" s="63">
        <f>VLOOKUP(A52,tablaequipo,5)</f>
        <v>0</v>
      </c>
      <c r="E52" s="63" t="str">
        <f>VLOOKUP(A52,tablaequipo,6)</f>
        <v>Alquiler Camion</v>
      </c>
      <c r="G52" s="93" t="s">
        <v>242</v>
      </c>
      <c r="H52" s="94">
        <f>+Operacion!H341</f>
        <v>0</v>
      </c>
    </row>
    <row r="53" spans="1:8" ht="18.600000000000001" thickBot="1">
      <c r="A53" s="95"/>
      <c r="G53" s="93" t="s">
        <v>21</v>
      </c>
      <c r="H53" s="94">
        <f>+Operacion!H342</f>
        <v>0</v>
      </c>
    </row>
    <row r="54" spans="1:8">
      <c r="A54" s="95"/>
      <c r="B54" s="63" t="str">
        <f>+Operacion!D343</f>
        <v>TRANS002</v>
      </c>
      <c r="C54" s="63" t="str">
        <f>+Operacion!D344</f>
        <v>Transporte Rivas</v>
      </c>
      <c r="E54" s="103" t="s">
        <v>88</v>
      </c>
      <c r="G54" s="93" t="s">
        <v>22</v>
      </c>
      <c r="H54" s="94">
        <f>+Operacion!L342</f>
        <v>0</v>
      </c>
    </row>
    <row r="55" spans="1:8" ht="18.600000000000001" thickBot="1">
      <c r="A55" s="95"/>
      <c r="B55" s="63" t="str">
        <f>+Operacion!D345</f>
        <v>TIPO</v>
      </c>
      <c r="C55" s="63" t="str">
        <f>+Operacion!D346</f>
        <v xml:space="preserve">Seleccione Tipo </v>
      </c>
      <c r="E55" s="104">
        <f>+Operacion!F344</f>
        <v>0</v>
      </c>
      <c r="H55" s="96"/>
    </row>
    <row r="56" spans="1:8" ht="18.600000000000001" thickBot="1">
      <c r="A56" s="95"/>
      <c r="G56" s="93" t="s">
        <v>243</v>
      </c>
      <c r="H56" s="94">
        <f>+Operacion!H343</f>
        <v>0</v>
      </c>
    </row>
    <row r="57" spans="1:8">
      <c r="A57" s="95"/>
      <c r="B57" s="93" t="s">
        <v>107</v>
      </c>
      <c r="C57" s="84" t="str">
        <f>+Operacion!G339</f>
        <v>Seleccione Empresa</v>
      </c>
      <c r="E57" s="103" t="s">
        <v>244</v>
      </c>
      <c r="G57" s="93" t="s">
        <v>21</v>
      </c>
      <c r="H57" s="94">
        <f>+Operacion!H344</f>
        <v>0</v>
      </c>
    </row>
    <row r="58" spans="1:8" ht="18.600000000000001" thickBot="1">
      <c r="A58" s="95"/>
      <c r="B58" s="93" t="s">
        <v>249</v>
      </c>
      <c r="C58" s="63">
        <f>+Operacion!H340</f>
        <v>0</v>
      </c>
      <c r="E58" s="102">
        <f>+Operacion!L339</f>
        <v>0</v>
      </c>
      <c r="G58" s="93" t="s">
        <v>22</v>
      </c>
      <c r="H58" s="94">
        <f>+Operacion!L344</f>
        <v>0</v>
      </c>
    </row>
    <row r="59" spans="1:8">
      <c r="A59" s="95"/>
      <c r="B59" s="93" t="s">
        <v>18</v>
      </c>
      <c r="C59" s="84">
        <f>+Operacion!L340</f>
        <v>0</v>
      </c>
      <c r="H59" s="96"/>
    </row>
    <row r="60" spans="1:8">
      <c r="A60" s="95"/>
      <c r="H60" s="96"/>
    </row>
    <row r="61" spans="1:8" ht="18.75" customHeight="1">
      <c r="A61" s="95"/>
      <c r="B61" s="93" t="s">
        <v>247</v>
      </c>
      <c r="C61" s="84" t="str">
        <f>+Operacion!D340</f>
        <v>Seleccione Contactos GD</v>
      </c>
      <c r="G61" s="261" t="s">
        <v>248</v>
      </c>
      <c r="H61" s="263">
        <f>+Operacion!H346</f>
        <v>0</v>
      </c>
    </row>
    <row r="62" spans="1:8" ht="18.600000000000001" thickBot="1">
      <c r="A62" s="97"/>
      <c r="B62" s="98" t="s">
        <v>22</v>
      </c>
      <c r="C62" s="99">
        <f>+Operacion!F340</f>
        <v>0</v>
      </c>
      <c r="D62" s="100"/>
      <c r="E62" s="100"/>
      <c r="F62" s="101"/>
      <c r="G62" s="262"/>
      <c r="H62" s="264"/>
    </row>
    <row r="63" spans="1:8" ht="18.600000000000001" thickBot="1">
      <c r="A63" s="87" t="s">
        <v>237</v>
      </c>
      <c r="B63" s="88" t="s">
        <v>238</v>
      </c>
      <c r="C63" s="88" t="s">
        <v>239</v>
      </c>
      <c r="D63" s="88" t="s">
        <v>240</v>
      </c>
      <c r="E63" s="88" t="s">
        <v>241</v>
      </c>
      <c r="F63" s="89"/>
      <c r="G63" s="90"/>
      <c r="H63" s="91"/>
    </row>
    <row r="64" spans="1:8" ht="24" thickBot="1">
      <c r="A64" s="92" t="str">
        <f>+Operacion!B350</f>
        <v>GDU805</v>
      </c>
      <c r="B64" s="63">
        <f>VLOOKUP(A64,tablaequipo,3)</f>
        <v>0</v>
      </c>
      <c r="C64" s="63" t="str">
        <f>VLOOKUP(A64,tablaequipo,4)</f>
        <v>Camion</v>
      </c>
      <c r="D64" s="63">
        <f>VLOOKUP(A64,tablaequipo,5)</f>
        <v>0</v>
      </c>
      <c r="E64" s="63" t="str">
        <f>VLOOKUP(A64,tablaequipo,6)</f>
        <v>Alquiler Camion</v>
      </c>
      <c r="G64" s="93" t="s">
        <v>242</v>
      </c>
      <c r="H64" s="94">
        <f>+Operacion!H351</f>
        <v>0</v>
      </c>
    </row>
    <row r="65" spans="1:8" ht="18.600000000000001" thickBot="1">
      <c r="A65" s="95"/>
      <c r="G65" s="93" t="s">
        <v>21</v>
      </c>
      <c r="H65" s="94">
        <f>+Operacion!H352</f>
        <v>0</v>
      </c>
    </row>
    <row r="66" spans="1:8">
      <c r="A66" s="95"/>
      <c r="B66" s="63" t="str">
        <f>+Operacion!D353</f>
        <v>TRANS002</v>
      </c>
      <c r="C66" s="63" t="str">
        <f>+Operacion!D354</f>
        <v>Transporte Rivas</v>
      </c>
      <c r="E66" s="103" t="s">
        <v>88</v>
      </c>
      <c r="G66" s="93" t="s">
        <v>22</v>
      </c>
      <c r="H66" s="94">
        <f>+Operacion!L352</f>
        <v>0</v>
      </c>
    </row>
    <row r="67" spans="1:8" ht="18.600000000000001" thickBot="1">
      <c r="A67" s="95"/>
      <c r="B67" s="63" t="str">
        <f>+Operacion!D355</f>
        <v>TIPO</v>
      </c>
      <c r="C67" s="63" t="str">
        <f>+Operacion!D356</f>
        <v xml:space="preserve">Seleccione Tipo </v>
      </c>
      <c r="E67" s="104">
        <f>+Operacion!F354</f>
        <v>0</v>
      </c>
      <c r="H67" s="96"/>
    </row>
    <row r="68" spans="1:8" ht="18.600000000000001" thickBot="1">
      <c r="A68" s="95"/>
      <c r="G68" s="93" t="s">
        <v>243</v>
      </c>
      <c r="H68" s="94">
        <f>+Operacion!H353</f>
        <v>0</v>
      </c>
    </row>
    <row r="69" spans="1:8">
      <c r="A69" s="95"/>
      <c r="B69" s="93" t="s">
        <v>107</v>
      </c>
      <c r="C69" s="84" t="str">
        <f>+Operacion!G349</f>
        <v>Seleccione Empresa</v>
      </c>
      <c r="E69" s="103" t="s">
        <v>244</v>
      </c>
      <c r="G69" s="93" t="s">
        <v>21</v>
      </c>
      <c r="H69" s="94">
        <f>+Operacion!H354</f>
        <v>0</v>
      </c>
    </row>
    <row r="70" spans="1:8" ht="18.600000000000001" thickBot="1">
      <c r="A70" s="95"/>
      <c r="B70" s="93" t="s">
        <v>249</v>
      </c>
      <c r="C70" s="63">
        <f>+Operacion!H350</f>
        <v>0</v>
      </c>
      <c r="E70" s="102">
        <f>+Operacion!L349</f>
        <v>0</v>
      </c>
      <c r="G70" s="93" t="s">
        <v>22</v>
      </c>
      <c r="H70" s="94">
        <f>+Operacion!L354</f>
        <v>0</v>
      </c>
    </row>
    <row r="71" spans="1:8">
      <c r="A71" s="95"/>
      <c r="B71" s="93" t="s">
        <v>18</v>
      </c>
      <c r="C71" s="84">
        <f>+Operacion!L350</f>
        <v>0</v>
      </c>
      <c r="H71" s="96"/>
    </row>
    <row r="72" spans="1:8">
      <c r="A72" s="95"/>
      <c r="H72" s="96"/>
    </row>
    <row r="73" spans="1:8" ht="18.75" customHeight="1">
      <c r="A73" s="95"/>
      <c r="B73" s="93" t="s">
        <v>247</v>
      </c>
      <c r="C73" s="84" t="str">
        <f>+Operacion!D350</f>
        <v>Seleccione Contactos GD</v>
      </c>
      <c r="G73" s="261" t="s">
        <v>248</v>
      </c>
      <c r="H73" s="263">
        <f>+Operacion!H356</f>
        <v>0</v>
      </c>
    </row>
    <row r="74" spans="1:8" ht="18.600000000000001" thickBot="1">
      <c r="A74" s="97"/>
      <c r="B74" s="98" t="s">
        <v>22</v>
      </c>
      <c r="C74" s="99">
        <f>+Operacion!F350</f>
        <v>0</v>
      </c>
      <c r="D74" s="100"/>
      <c r="E74" s="100"/>
      <c r="F74" s="101"/>
      <c r="G74" s="262"/>
      <c r="H74" s="264"/>
    </row>
  </sheetData>
  <sheetProtection algorithmName="SHA-512" hashValue="IzcLG6Z/cZFoWqucmq/grAECyPlxoZe6hD0MTRxCbffT8nTmc02tPpDLe5+ovYuYygMV77LDkZ2h8NDEqMfngw==" saltValue="ctmY10Ns5Cw9tv6NXNYSpw==" spinCount="100000" sheet="1" objects="1" scenarios="1"/>
  <mergeCells count="12">
    <mergeCell ref="G13:G14"/>
    <mergeCell ref="H13:H14"/>
    <mergeCell ref="G25:G26"/>
    <mergeCell ref="H25:H26"/>
    <mergeCell ref="G73:G74"/>
    <mergeCell ref="H73:H74"/>
    <mergeCell ref="G37:G38"/>
    <mergeCell ref="H37:H38"/>
    <mergeCell ref="G49:G50"/>
    <mergeCell ref="H49:H50"/>
    <mergeCell ref="G61:G62"/>
    <mergeCell ref="H61:H6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0"/>
  <dimension ref="A1:H38"/>
  <sheetViews>
    <sheetView showGridLines="0" topLeftCell="A19" workbookViewId="0">
      <selection activeCell="I274" sqref="I274:J274"/>
    </sheetView>
  </sheetViews>
  <sheetFormatPr defaultColWidth="11.42578125" defaultRowHeight="18"/>
  <cols>
    <col min="1" max="1" width="14.140625" style="61" bestFit="1" customWidth="1"/>
    <col min="2" max="2" width="26.140625" style="62" bestFit="1" customWidth="1"/>
    <col min="3" max="3" width="29.5703125" style="62" bestFit="1" customWidth="1"/>
    <col min="4" max="4" width="10.85546875" style="62" bestFit="1" customWidth="1"/>
    <col min="5" max="5" width="23.42578125" style="62" bestFit="1" customWidth="1"/>
    <col min="6" max="6" width="5.5703125" style="61" customWidth="1"/>
    <col min="7" max="7" width="22.85546875" style="62" bestFit="1" customWidth="1"/>
    <col min="8" max="8" width="64.42578125" style="62" customWidth="1"/>
    <col min="9" max="16384" width="11.42578125" style="61"/>
  </cols>
  <sheetData>
    <row r="1" spans="1:8" ht="23.45">
      <c r="A1" s="85" t="s">
        <v>0</v>
      </c>
      <c r="B1" s="86">
        <f>+Operacion!D1</f>
        <v>46278</v>
      </c>
    </row>
    <row r="2" spans="1:8" ht="18.600000000000001" thickBot="1"/>
    <row r="3" spans="1:8" ht="18.600000000000001" thickBot="1">
      <c r="A3" s="87" t="s">
        <v>237</v>
      </c>
      <c r="B3" s="88" t="s">
        <v>238</v>
      </c>
      <c r="C3" s="88" t="s">
        <v>239</v>
      </c>
      <c r="D3" s="88" t="s">
        <v>240</v>
      </c>
      <c r="E3" s="88" t="s">
        <v>241</v>
      </c>
      <c r="F3" s="89"/>
      <c r="G3" s="90"/>
      <c r="H3" s="91"/>
    </row>
    <row r="4" spans="1:8" ht="24" thickBot="1">
      <c r="A4" s="92" t="str">
        <f>+Operacion!B360</f>
        <v>GDU806</v>
      </c>
      <c r="B4" s="63">
        <f>VLOOKUP(A4,tablaequipo,3)</f>
        <v>0</v>
      </c>
      <c r="C4" s="63" t="str">
        <f>VLOOKUP(A4,tablaequipo,4)</f>
        <v>Camion</v>
      </c>
      <c r="D4" s="63">
        <f>VLOOKUP(A4,tablaequipo,5)</f>
        <v>0</v>
      </c>
      <c r="E4" s="63" t="str">
        <f>VLOOKUP(A4,tablaequipo,6)</f>
        <v>Alquiler Camion</v>
      </c>
      <c r="G4" s="93" t="s">
        <v>242</v>
      </c>
      <c r="H4" s="94">
        <f>+Operacion!H361</f>
        <v>0</v>
      </c>
    </row>
    <row r="5" spans="1:8" ht="18.600000000000001" thickBot="1">
      <c r="A5" s="95"/>
      <c r="G5" s="93" t="s">
        <v>21</v>
      </c>
      <c r="H5" s="94">
        <f>+Operacion!H362</f>
        <v>0</v>
      </c>
    </row>
    <row r="6" spans="1:8">
      <c r="A6" s="95"/>
      <c r="B6" s="63" t="str">
        <f>+Operacion!D363</f>
        <v>TRANS002</v>
      </c>
      <c r="C6" s="63" t="str">
        <f>+Operacion!D364</f>
        <v>Transporte Rivas</v>
      </c>
      <c r="E6" s="103" t="s">
        <v>88</v>
      </c>
      <c r="G6" s="93" t="s">
        <v>22</v>
      </c>
      <c r="H6" s="94">
        <f>+Operacion!L362</f>
        <v>0</v>
      </c>
    </row>
    <row r="7" spans="1:8" ht="18.600000000000001" thickBot="1">
      <c r="A7" s="95"/>
      <c r="B7" s="63" t="str">
        <f>+Operacion!D365</f>
        <v>TIPO</v>
      </c>
      <c r="C7" s="63" t="str">
        <f>+Operacion!D366</f>
        <v xml:space="preserve">Seleccione Tipo </v>
      </c>
      <c r="E7" s="104">
        <f>+Operacion!F364</f>
        <v>0</v>
      </c>
      <c r="H7" s="96"/>
    </row>
    <row r="8" spans="1:8" ht="18.600000000000001" thickBot="1">
      <c r="A8" s="95"/>
      <c r="G8" s="93" t="s">
        <v>243</v>
      </c>
      <c r="H8" s="94">
        <f>+Operacion!H363</f>
        <v>0</v>
      </c>
    </row>
    <row r="9" spans="1:8">
      <c r="A9" s="95"/>
      <c r="B9" s="93" t="s">
        <v>107</v>
      </c>
      <c r="C9" s="84" t="str">
        <f>+Operacion!G359</f>
        <v>Seleccione Empresa</v>
      </c>
      <c r="E9" s="103" t="s">
        <v>244</v>
      </c>
      <c r="G9" s="93" t="s">
        <v>21</v>
      </c>
      <c r="H9" s="94">
        <f>+Operacion!H364</f>
        <v>0</v>
      </c>
    </row>
    <row r="10" spans="1:8" ht="18.600000000000001" thickBot="1">
      <c r="A10" s="95"/>
      <c r="B10" s="93" t="s">
        <v>249</v>
      </c>
      <c r="C10" s="63">
        <f>+Operacion!H360</f>
        <v>0</v>
      </c>
      <c r="E10" s="102">
        <f>+Operacion!L359</f>
        <v>0</v>
      </c>
      <c r="G10" s="93" t="s">
        <v>22</v>
      </c>
      <c r="H10" s="94">
        <f>+Operacion!L364</f>
        <v>0</v>
      </c>
    </row>
    <row r="11" spans="1:8">
      <c r="A11" s="95"/>
      <c r="B11" s="93" t="s">
        <v>18</v>
      </c>
      <c r="C11" s="84">
        <f>+Operacion!L360</f>
        <v>0</v>
      </c>
      <c r="H11" s="96"/>
    </row>
    <row r="12" spans="1:8">
      <c r="A12" s="95"/>
      <c r="H12" s="96"/>
    </row>
    <row r="13" spans="1:8" ht="18.75" customHeight="1">
      <c r="A13" s="95"/>
      <c r="B13" s="93" t="s">
        <v>247</v>
      </c>
      <c r="C13" s="84" t="str">
        <f>+Operacion!D360</f>
        <v>Seleccione Contactos GD</v>
      </c>
      <c r="G13" s="261" t="s">
        <v>248</v>
      </c>
      <c r="H13" s="263">
        <f>+Operacion!H366</f>
        <v>0</v>
      </c>
    </row>
    <row r="14" spans="1:8" ht="18.600000000000001" thickBot="1">
      <c r="A14" s="97"/>
      <c r="B14" s="98" t="s">
        <v>22</v>
      </c>
      <c r="C14" s="99">
        <f>+Operacion!F360</f>
        <v>0</v>
      </c>
      <c r="D14" s="100"/>
      <c r="E14" s="100"/>
      <c r="F14" s="101"/>
      <c r="G14" s="262"/>
      <c r="H14" s="264"/>
    </row>
    <row r="15" spans="1:8" ht="18.600000000000001" thickBot="1">
      <c r="A15" s="87" t="s">
        <v>237</v>
      </c>
      <c r="B15" s="88" t="s">
        <v>238</v>
      </c>
      <c r="C15" s="88" t="s">
        <v>239</v>
      </c>
      <c r="D15" s="88" t="s">
        <v>240</v>
      </c>
      <c r="E15" s="88" t="s">
        <v>241</v>
      </c>
      <c r="F15" s="89"/>
      <c r="G15" s="90"/>
      <c r="H15" s="91"/>
    </row>
    <row r="16" spans="1:8" ht="24" thickBot="1">
      <c r="A16" s="92" t="str">
        <f>+Operacion!B370</f>
        <v>GDU807</v>
      </c>
      <c r="B16" s="63">
        <f>VLOOKUP(A16,tablaequipo,3)</f>
        <v>0</v>
      </c>
      <c r="C16" s="63" t="str">
        <f>VLOOKUP(A16,tablaequipo,4)</f>
        <v>Camion</v>
      </c>
      <c r="D16" s="63">
        <f>VLOOKUP(A16,tablaequipo,5)</f>
        <v>0</v>
      </c>
      <c r="E16" s="63" t="str">
        <f>VLOOKUP(A16,tablaequipo,6)</f>
        <v>Alquiler Camion</v>
      </c>
      <c r="G16" s="93" t="s">
        <v>242</v>
      </c>
      <c r="H16" s="94">
        <f>+Operacion!H371</f>
        <v>0</v>
      </c>
    </row>
    <row r="17" spans="1:8" ht="18.600000000000001" thickBot="1">
      <c r="A17" s="95"/>
      <c r="G17" s="93" t="s">
        <v>21</v>
      </c>
      <c r="H17" s="94">
        <f>+Operacion!H372</f>
        <v>0</v>
      </c>
    </row>
    <row r="18" spans="1:8">
      <c r="A18" s="95"/>
      <c r="B18" s="63" t="str">
        <f>+Operacion!D373</f>
        <v>TRANS002</v>
      </c>
      <c r="C18" s="63" t="str">
        <f>+Operacion!D374</f>
        <v>Transporte Rivas</v>
      </c>
      <c r="E18" s="103" t="s">
        <v>88</v>
      </c>
      <c r="G18" s="93" t="s">
        <v>22</v>
      </c>
      <c r="H18" s="94">
        <f>+Operacion!L372</f>
        <v>0</v>
      </c>
    </row>
    <row r="19" spans="1:8" ht="18.600000000000001" thickBot="1">
      <c r="A19" s="95"/>
      <c r="B19" s="63" t="str">
        <f>+Operacion!D375</f>
        <v>TIPO</v>
      </c>
      <c r="C19" s="63" t="str">
        <f>+Operacion!D376</f>
        <v xml:space="preserve">Seleccione Tipo </v>
      </c>
      <c r="E19" s="104">
        <f>+Operacion!F374</f>
        <v>0</v>
      </c>
      <c r="H19" s="96"/>
    </row>
    <row r="20" spans="1:8" ht="18.600000000000001" thickBot="1">
      <c r="A20" s="95"/>
      <c r="G20" s="93" t="s">
        <v>243</v>
      </c>
      <c r="H20" s="94">
        <f>+Operacion!H373</f>
        <v>0</v>
      </c>
    </row>
    <row r="21" spans="1:8">
      <c r="A21" s="95"/>
      <c r="B21" s="93" t="s">
        <v>107</v>
      </c>
      <c r="C21" s="84" t="str">
        <f>+Operacion!G369</f>
        <v>Seleccione Empresa</v>
      </c>
      <c r="E21" s="103" t="s">
        <v>244</v>
      </c>
      <c r="G21" s="93" t="s">
        <v>21</v>
      </c>
      <c r="H21" s="94">
        <f>+Operacion!H374</f>
        <v>0</v>
      </c>
    </row>
    <row r="22" spans="1:8" ht="18.600000000000001" thickBot="1">
      <c r="A22" s="95"/>
      <c r="B22" s="93" t="s">
        <v>249</v>
      </c>
      <c r="C22" s="63">
        <f>+Operacion!H370</f>
        <v>0</v>
      </c>
      <c r="E22" s="102">
        <f>+Operacion!L369</f>
        <v>0</v>
      </c>
      <c r="G22" s="93" t="s">
        <v>22</v>
      </c>
      <c r="H22" s="94">
        <f>+Operacion!L374</f>
        <v>0</v>
      </c>
    </row>
    <row r="23" spans="1:8">
      <c r="A23" s="95"/>
      <c r="B23" s="93" t="s">
        <v>18</v>
      </c>
      <c r="C23" s="84">
        <f>+Operacion!L370</f>
        <v>0</v>
      </c>
      <c r="H23" s="96"/>
    </row>
    <row r="24" spans="1:8">
      <c r="A24" s="95"/>
      <c r="H24" s="96"/>
    </row>
    <row r="25" spans="1:8" ht="18.75" customHeight="1">
      <c r="A25" s="95"/>
      <c r="B25" s="93" t="s">
        <v>247</v>
      </c>
      <c r="C25" s="84" t="str">
        <f>+Operacion!D370</f>
        <v>Seleccione Contactos GD</v>
      </c>
      <c r="G25" s="261" t="s">
        <v>248</v>
      </c>
      <c r="H25" s="263">
        <f>+Operacion!H376</f>
        <v>0</v>
      </c>
    </row>
    <row r="26" spans="1:8" ht="18.600000000000001" thickBot="1">
      <c r="A26" s="97"/>
      <c r="B26" s="98" t="s">
        <v>22</v>
      </c>
      <c r="C26" s="99">
        <f>+Operacion!F370</f>
        <v>0</v>
      </c>
      <c r="D26" s="100"/>
      <c r="E26" s="100"/>
      <c r="F26" s="101"/>
      <c r="G26" s="262"/>
      <c r="H26" s="264"/>
    </row>
    <row r="27" spans="1:8" ht="18.600000000000001" thickBot="1">
      <c r="A27" s="87" t="s">
        <v>237</v>
      </c>
      <c r="B27" s="88" t="s">
        <v>238</v>
      </c>
      <c r="C27" s="88" t="s">
        <v>239</v>
      </c>
      <c r="D27" s="88" t="s">
        <v>240</v>
      </c>
      <c r="E27" s="88" t="s">
        <v>241</v>
      </c>
      <c r="F27" s="89"/>
      <c r="G27" s="90"/>
      <c r="H27" s="91"/>
    </row>
    <row r="28" spans="1:8" ht="24" thickBot="1">
      <c r="A28" s="92" t="str">
        <f>+Operacion!B380</f>
        <v>GDU808</v>
      </c>
      <c r="B28" s="63">
        <f>VLOOKUP(A28,tablaequipo,3)</f>
        <v>0</v>
      </c>
      <c r="C28" s="63" t="str">
        <f>VLOOKUP(A28,tablaequipo,4)</f>
        <v>Camion</v>
      </c>
      <c r="D28" s="63">
        <f>VLOOKUP(A28,tablaequipo,5)</f>
        <v>0</v>
      </c>
      <c r="E28" s="63" t="str">
        <f>VLOOKUP(A28,tablaequipo,6)</f>
        <v>Alquiler Camion</v>
      </c>
      <c r="G28" s="93" t="s">
        <v>242</v>
      </c>
      <c r="H28" s="94">
        <f>+Operacion!H381</f>
        <v>0</v>
      </c>
    </row>
    <row r="29" spans="1:8" ht="18.600000000000001" thickBot="1">
      <c r="A29" s="95"/>
      <c r="G29" s="93" t="s">
        <v>21</v>
      </c>
      <c r="H29" s="94">
        <f>+Operacion!H382</f>
        <v>0</v>
      </c>
    </row>
    <row r="30" spans="1:8">
      <c r="A30" s="95"/>
      <c r="B30" s="63" t="str">
        <f>+Operacion!D383</f>
        <v>TRANS002</v>
      </c>
      <c r="C30" s="63" t="str">
        <f>+Operacion!D384</f>
        <v>Transporte Rivas</v>
      </c>
      <c r="E30" s="103" t="s">
        <v>88</v>
      </c>
      <c r="G30" s="93" t="s">
        <v>22</v>
      </c>
      <c r="H30" s="94">
        <f>+Operacion!L382</f>
        <v>0</v>
      </c>
    </row>
    <row r="31" spans="1:8" ht="18.600000000000001" thickBot="1">
      <c r="A31" s="95"/>
      <c r="B31" s="63" t="str">
        <f>+Operacion!D385</f>
        <v>TIPO</v>
      </c>
      <c r="C31" s="63" t="str">
        <f>+Operacion!D386</f>
        <v xml:space="preserve">Seleccione Tipo </v>
      </c>
      <c r="E31" s="104">
        <f>+Operacion!F384</f>
        <v>0</v>
      </c>
      <c r="H31" s="96"/>
    </row>
    <row r="32" spans="1:8" ht="18.600000000000001" thickBot="1">
      <c r="A32" s="95"/>
      <c r="G32" s="93" t="s">
        <v>243</v>
      </c>
      <c r="H32" s="94">
        <f>+Operacion!H383</f>
        <v>0</v>
      </c>
    </row>
    <row r="33" spans="1:8">
      <c r="A33" s="95"/>
      <c r="B33" s="93" t="s">
        <v>107</v>
      </c>
      <c r="C33" s="84" t="str">
        <f>+Operacion!G379</f>
        <v>Seleccione Empresa</v>
      </c>
      <c r="E33" s="103" t="s">
        <v>244</v>
      </c>
      <c r="G33" s="93" t="s">
        <v>21</v>
      </c>
      <c r="H33" s="94">
        <f>+Operacion!H384</f>
        <v>0</v>
      </c>
    </row>
    <row r="34" spans="1:8" ht="18.600000000000001" thickBot="1">
      <c r="A34" s="95"/>
      <c r="B34" s="93" t="s">
        <v>249</v>
      </c>
      <c r="C34" s="63">
        <f>+Operacion!H380</f>
        <v>0</v>
      </c>
      <c r="E34" s="102">
        <f>+Operacion!L379</f>
        <v>0</v>
      </c>
      <c r="G34" s="93" t="s">
        <v>22</v>
      </c>
      <c r="H34" s="94">
        <f>+Operacion!L384</f>
        <v>0</v>
      </c>
    </row>
    <row r="35" spans="1:8">
      <c r="A35" s="95"/>
      <c r="B35" s="93" t="s">
        <v>18</v>
      </c>
      <c r="C35" s="84">
        <f>+Operacion!L380</f>
        <v>0</v>
      </c>
      <c r="H35" s="96"/>
    </row>
    <row r="36" spans="1:8">
      <c r="A36" s="95"/>
      <c r="H36" s="96"/>
    </row>
    <row r="37" spans="1:8" ht="18.75" customHeight="1">
      <c r="A37" s="95"/>
      <c r="B37" s="93" t="s">
        <v>247</v>
      </c>
      <c r="C37" s="84" t="str">
        <f>+Operacion!D380</f>
        <v>Seleccione Contactos GD</v>
      </c>
      <c r="G37" s="261" t="s">
        <v>248</v>
      </c>
      <c r="H37" s="263">
        <f>+Operacion!H386</f>
        <v>0</v>
      </c>
    </row>
    <row r="38" spans="1:8" ht="18.600000000000001" thickBot="1">
      <c r="A38" s="97"/>
      <c r="B38" s="98" t="s">
        <v>22</v>
      </c>
      <c r="C38" s="99">
        <f>+Operacion!F380</f>
        <v>0</v>
      </c>
      <c r="D38" s="100"/>
      <c r="E38" s="100"/>
      <c r="F38" s="101"/>
      <c r="G38" s="262"/>
      <c r="H38" s="264"/>
    </row>
  </sheetData>
  <sheetProtection algorithmName="SHA-512" hashValue="ZZKPrGGXaAJT1e8udk9LwhZq4JTU8DRBVQoIpGgumXa3yUlMRV2eiJgRkBbuDQh5OE8tUKYfp0CCEU4HRUuEDg==" saltValue="JpkaHgyB3AX2uXpoB1QNJg==" spinCount="100000" sheet="1" objects="1" scenarios="1"/>
  <mergeCells count="6">
    <mergeCell ref="G13:G14"/>
    <mergeCell ref="H13:H14"/>
    <mergeCell ref="G25:G26"/>
    <mergeCell ref="H25:H26"/>
    <mergeCell ref="G37:G38"/>
    <mergeCell ref="H37:H3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29"/>
  <dimension ref="A1:H38"/>
  <sheetViews>
    <sheetView showGridLines="0" topLeftCell="A31" workbookViewId="0">
      <selection activeCell="I274" sqref="I274:J274"/>
    </sheetView>
  </sheetViews>
  <sheetFormatPr defaultColWidth="11.42578125" defaultRowHeight="18"/>
  <cols>
    <col min="1" max="1" width="14.140625" style="61" bestFit="1" customWidth="1"/>
    <col min="2" max="2" width="26.140625" style="62" bestFit="1" customWidth="1"/>
    <col min="3" max="3" width="29.5703125" style="62" bestFit="1" customWidth="1"/>
    <col min="4" max="4" width="10.85546875" style="62" bestFit="1" customWidth="1"/>
    <col min="5" max="5" width="23.42578125" style="62" bestFit="1" customWidth="1"/>
    <col min="6" max="6" width="5.5703125" style="61" customWidth="1"/>
    <col min="7" max="7" width="22.85546875" style="62" bestFit="1" customWidth="1"/>
    <col min="8" max="8" width="64.42578125" style="62" customWidth="1"/>
    <col min="9" max="16384" width="11.42578125" style="61"/>
  </cols>
  <sheetData>
    <row r="1" spans="1:8" ht="23.45">
      <c r="A1" s="85" t="s">
        <v>0</v>
      </c>
      <c r="B1" s="86">
        <f>+Operacion!D1</f>
        <v>46278</v>
      </c>
    </row>
    <row r="2" spans="1:8" ht="18.600000000000001" thickBot="1"/>
    <row r="3" spans="1:8" ht="18.600000000000001" thickBot="1">
      <c r="A3" s="87" t="s">
        <v>237</v>
      </c>
      <c r="B3" s="88" t="s">
        <v>238</v>
      </c>
      <c r="C3" s="88" t="s">
        <v>239</v>
      </c>
      <c r="D3" s="88" t="s">
        <v>240</v>
      </c>
      <c r="E3" s="88" t="s">
        <v>241</v>
      </c>
      <c r="F3" s="89"/>
      <c r="G3" s="90"/>
      <c r="H3" s="91"/>
    </row>
    <row r="4" spans="1:8" ht="24" thickBot="1">
      <c r="A4" s="92" t="str">
        <f>+Operacion!B390</f>
        <v>GDU809</v>
      </c>
      <c r="B4" s="63">
        <f>VLOOKUP(A4,tablaequipo,3)</f>
        <v>0</v>
      </c>
      <c r="C4" s="63" t="str">
        <f>VLOOKUP(A4,tablaequipo,4)</f>
        <v>Camion</v>
      </c>
      <c r="D4" s="63">
        <f>VLOOKUP(A4,tablaequipo,5)</f>
        <v>0</v>
      </c>
      <c r="E4" s="63" t="str">
        <f>VLOOKUP(A4,tablaequipo,6)</f>
        <v>Alquiler Camion</v>
      </c>
      <c r="G4" s="93" t="s">
        <v>242</v>
      </c>
      <c r="H4" s="94">
        <f>+Operacion!H391</f>
        <v>0</v>
      </c>
    </row>
    <row r="5" spans="1:8" ht="18.600000000000001" thickBot="1">
      <c r="A5" s="95"/>
      <c r="G5" s="93" t="s">
        <v>21</v>
      </c>
      <c r="H5" s="94">
        <f>+Operacion!H392</f>
        <v>0</v>
      </c>
    </row>
    <row r="6" spans="1:8">
      <c r="A6" s="95"/>
      <c r="B6" s="63" t="str">
        <f>+Operacion!D393</f>
        <v>TRANS003</v>
      </c>
      <c r="C6" s="63" t="str">
        <f>+Operacion!D394</f>
        <v>Transporte FBM</v>
      </c>
      <c r="E6" s="103" t="s">
        <v>88</v>
      </c>
      <c r="G6" s="93" t="s">
        <v>22</v>
      </c>
      <c r="H6" s="94">
        <f>+Operacion!L392</f>
        <v>0</v>
      </c>
    </row>
    <row r="7" spans="1:8" ht="18.600000000000001" thickBot="1">
      <c r="A7" s="95"/>
      <c r="B7" s="63" t="str">
        <f>+Operacion!D395</f>
        <v>TIPO</v>
      </c>
      <c r="C7" s="63" t="str">
        <f>+Operacion!D396</f>
        <v xml:space="preserve">Seleccione Tipo </v>
      </c>
      <c r="E7" s="104">
        <f>+Operacion!F394</f>
        <v>0</v>
      </c>
      <c r="H7" s="96"/>
    </row>
    <row r="8" spans="1:8" ht="18.600000000000001" thickBot="1">
      <c r="A8" s="95"/>
      <c r="G8" s="93" t="s">
        <v>243</v>
      </c>
      <c r="H8" s="94">
        <f>+Operacion!H393</f>
        <v>0</v>
      </c>
    </row>
    <row r="9" spans="1:8">
      <c r="A9" s="95"/>
      <c r="B9" s="93" t="s">
        <v>107</v>
      </c>
      <c r="C9" s="84" t="str">
        <f>+Operacion!G389</f>
        <v>Seleccione Empresa</v>
      </c>
      <c r="E9" s="103" t="s">
        <v>244</v>
      </c>
      <c r="G9" s="93" t="s">
        <v>21</v>
      </c>
      <c r="H9" s="94">
        <f>+Operacion!H394</f>
        <v>0</v>
      </c>
    </row>
    <row r="10" spans="1:8" ht="18.600000000000001" thickBot="1">
      <c r="A10" s="95"/>
      <c r="B10" s="93" t="s">
        <v>249</v>
      </c>
      <c r="C10" s="63">
        <f>+Operacion!H390</f>
        <v>0</v>
      </c>
      <c r="E10" s="102">
        <f>+Operacion!L389</f>
        <v>0</v>
      </c>
      <c r="G10" s="93" t="s">
        <v>22</v>
      </c>
      <c r="H10" s="94">
        <f>+Operacion!L394</f>
        <v>0</v>
      </c>
    </row>
    <row r="11" spans="1:8">
      <c r="A11" s="95"/>
      <c r="B11" s="93" t="s">
        <v>18</v>
      </c>
      <c r="C11" s="84">
        <f>+Operacion!L390</f>
        <v>0</v>
      </c>
      <c r="H11" s="96"/>
    </row>
    <row r="12" spans="1:8">
      <c r="A12" s="95"/>
      <c r="H12" s="96"/>
    </row>
    <row r="13" spans="1:8">
      <c r="A13" s="95"/>
      <c r="B13" s="93" t="s">
        <v>247</v>
      </c>
      <c r="C13" s="84" t="str">
        <f>+Operacion!D390</f>
        <v>Seleccione Contactos GD</v>
      </c>
      <c r="G13" s="261" t="s">
        <v>248</v>
      </c>
      <c r="H13" s="263">
        <f>+Operacion!H396</f>
        <v>0</v>
      </c>
    </row>
    <row r="14" spans="1:8" ht="18.600000000000001" thickBot="1">
      <c r="A14" s="97"/>
      <c r="B14" s="98" t="s">
        <v>22</v>
      </c>
      <c r="C14" s="99">
        <f>+Operacion!F390</f>
        <v>0</v>
      </c>
      <c r="D14" s="100"/>
      <c r="E14" s="100"/>
      <c r="F14" s="101"/>
      <c r="G14" s="262"/>
      <c r="H14" s="264"/>
    </row>
    <row r="15" spans="1:8" ht="18.600000000000001" thickBot="1">
      <c r="A15" s="87" t="s">
        <v>237</v>
      </c>
      <c r="B15" s="88" t="s">
        <v>238</v>
      </c>
      <c r="C15" s="88" t="s">
        <v>239</v>
      </c>
      <c r="D15" s="88" t="s">
        <v>240</v>
      </c>
      <c r="E15" s="88" t="s">
        <v>241</v>
      </c>
      <c r="F15" s="89"/>
      <c r="G15" s="90"/>
      <c r="H15" s="91"/>
    </row>
    <row r="16" spans="1:8" ht="24" thickBot="1">
      <c r="A16" s="92" t="str">
        <f>+Operacion!B400</f>
        <v>GDU810</v>
      </c>
      <c r="B16" s="63">
        <f>VLOOKUP(A16,tablaequipo,3)</f>
        <v>0</v>
      </c>
      <c r="C16" s="63" t="str">
        <f>VLOOKUP(A16,tablaequipo,4)</f>
        <v>Camion</v>
      </c>
      <c r="D16" s="63">
        <f>VLOOKUP(A16,tablaequipo,5)</f>
        <v>0</v>
      </c>
      <c r="E16" s="63" t="str">
        <f>VLOOKUP(A16,tablaequipo,6)</f>
        <v>Alquiler Camion</v>
      </c>
      <c r="G16" s="93" t="s">
        <v>242</v>
      </c>
      <c r="H16" s="94">
        <f>+Operacion!H401</f>
        <v>0</v>
      </c>
    </row>
    <row r="17" spans="1:8" ht="18.600000000000001" thickBot="1">
      <c r="A17" s="95"/>
      <c r="G17" s="93" t="s">
        <v>21</v>
      </c>
      <c r="H17" s="94">
        <f>+Operacion!H402</f>
        <v>0</v>
      </c>
    </row>
    <row r="18" spans="1:8">
      <c r="A18" s="95"/>
      <c r="B18" s="63" t="str">
        <f>+Operacion!D403</f>
        <v>TRANS003</v>
      </c>
      <c r="C18" s="63" t="str">
        <f>+Operacion!D404</f>
        <v>Transporte FBM</v>
      </c>
      <c r="E18" s="103" t="s">
        <v>88</v>
      </c>
      <c r="G18" s="93" t="s">
        <v>22</v>
      </c>
      <c r="H18" s="94">
        <f>+Operacion!L402</f>
        <v>0</v>
      </c>
    </row>
    <row r="19" spans="1:8" ht="18.600000000000001" thickBot="1">
      <c r="A19" s="95"/>
      <c r="B19" s="63" t="str">
        <f>+Operacion!D405</f>
        <v>TIPO</v>
      </c>
      <c r="C19" s="63" t="str">
        <f>+Operacion!D406</f>
        <v xml:space="preserve">Seleccione Tipo </v>
      </c>
      <c r="E19" s="104">
        <f>+Operacion!F404</f>
        <v>0</v>
      </c>
      <c r="H19" s="96"/>
    </row>
    <row r="20" spans="1:8" ht="18.600000000000001" thickBot="1">
      <c r="A20" s="95"/>
      <c r="G20" s="93" t="s">
        <v>243</v>
      </c>
      <c r="H20" s="94">
        <f>+Operacion!H403</f>
        <v>0</v>
      </c>
    </row>
    <row r="21" spans="1:8">
      <c r="A21" s="95"/>
      <c r="B21" s="93" t="s">
        <v>107</v>
      </c>
      <c r="C21" s="84" t="str">
        <f>+Operacion!G399</f>
        <v>Seleccione Empresa</v>
      </c>
      <c r="E21" s="103" t="s">
        <v>244</v>
      </c>
      <c r="G21" s="93" t="s">
        <v>21</v>
      </c>
      <c r="H21" s="94">
        <f>+Operacion!H404</f>
        <v>0</v>
      </c>
    </row>
    <row r="22" spans="1:8" ht="18.600000000000001" thickBot="1">
      <c r="A22" s="95"/>
      <c r="B22" s="93" t="s">
        <v>249</v>
      </c>
      <c r="C22" s="63">
        <f>+Operacion!H400</f>
        <v>0</v>
      </c>
      <c r="E22" s="102">
        <f>+Operacion!L399</f>
        <v>0</v>
      </c>
      <c r="G22" s="93" t="s">
        <v>22</v>
      </c>
      <c r="H22" s="94">
        <f>+Operacion!L404</f>
        <v>0</v>
      </c>
    </row>
    <row r="23" spans="1:8">
      <c r="A23" s="95"/>
      <c r="B23" s="93" t="s">
        <v>18</v>
      </c>
      <c r="C23" s="84">
        <f>+Operacion!L400</f>
        <v>0</v>
      </c>
      <c r="H23" s="96"/>
    </row>
    <row r="24" spans="1:8">
      <c r="A24" s="95"/>
      <c r="H24" s="96"/>
    </row>
    <row r="25" spans="1:8" ht="18.75" customHeight="1">
      <c r="A25" s="95"/>
      <c r="B25" s="93" t="s">
        <v>247</v>
      </c>
      <c r="C25" s="84" t="str">
        <f>+Operacion!D400</f>
        <v>Seleccione Contactos GD</v>
      </c>
      <c r="G25" s="261" t="s">
        <v>248</v>
      </c>
      <c r="H25" s="263">
        <f>+Operacion!H406</f>
        <v>0</v>
      </c>
    </row>
    <row r="26" spans="1:8" ht="18.600000000000001" thickBot="1">
      <c r="A26" s="97"/>
      <c r="B26" s="98" t="s">
        <v>22</v>
      </c>
      <c r="C26" s="99">
        <f>+Operacion!F400</f>
        <v>0</v>
      </c>
      <c r="D26" s="100"/>
      <c r="E26" s="100"/>
      <c r="F26" s="101"/>
      <c r="G26" s="262"/>
      <c r="H26" s="264"/>
    </row>
    <row r="27" spans="1:8" ht="18.600000000000001" thickBot="1">
      <c r="A27" s="87" t="s">
        <v>237</v>
      </c>
      <c r="B27" s="88" t="s">
        <v>238</v>
      </c>
      <c r="C27" s="88" t="s">
        <v>239</v>
      </c>
      <c r="D27" s="88" t="s">
        <v>240</v>
      </c>
      <c r="E27" s="88" t="s">
        <v>241</v>
      </c>
      <c r="F27" s="89"/>
      <c r="G27" s="90"/>
      <c r="H27" s="91"/>
    </row>
    <row r="28" spans="1:8" ht="24" thickBot="1">
      <c r="A28" s="92" t="str">
        <f>+Operacion!B410</f>
        <v>GDU811</v>
      </c>
      <c r="B28" s="63">
        <f>VLOOKUP(A28,tablaequipo,3)</f>
        <v>0</v>
      </c>
      <c r="C28" s="63" t="str">
        <f>VLOOKUP(A28,tablaequipo,4)</f>
        <v>Camion</v>
      </c>
      <c r="D28" s="63">
        <f>VLOOKUP(A28,tablaequipo,5)</f>
        <v>0</v>
      </c>
      <c r="E28" s="63" t="str">
        <f>VLOOKUP(A28,tablaequipo,6)</f>
        <v>Alquiler Camion</v>
      </c>
      <c r="G28" s="93" t="s">
        <v>242</v>
      </c>
      <c r="H28" s="94">
        <f>+Operacion!H411</f>
        <v>0</v>
      </c>
    </row>
    <row r="29" spans="1:8" ht="18.600000000000001" thickBot="1">
      <c r="A29" s="95"/>
      <c r="G29" s="93" t="s">
        <v>21</v>
      </c>
      <c r="H29" s="94">
        <f>+Operacion!H412</f>
        <v>0</v>
      </c>
    </row>
    <row r="30" spans="1:8">
      <c r="A30" s="95"/>
      <c r="B30" s="63" t="str">
        <f>+Operacion!D413</f>
        <v>TRANS003</v>
      </c>
      <c r="C30" s="63" t="str">
        <f>+Operacion!D414</f>
        <v>Transporte FBM</v>
      </c>
      <c r="E30" s="103" t="s">
        <v>88</v>
      </c>
      <c r="G30" s="93" t="s">
        <v>22</v>
      </c>
      <c r="H30" s="94">
        <f>+Operacion!L412</f>
        <v>0</v>
      </c>
    </row>
    <row r="31" spans="1:8" ht="18.600000000000001" thickBot="1">
      <c r="A31" s="95"/>
      <c r="B31" s="63" t="str">
        <f>+Operacion!D415</f>
        <v>TIPO</v>
      </c>
      <c r="C31" s="63" t="str">
        <f>+Operacion!D416</f>
        <v xml:space="preserve">Seleccione Tipo </v>
      </c>
      <c r="E31" s="104">
        <f>+Operacion!F414</f>
        <v>0</v>
      </c>
      <c r="H31" s="96"/>
    </row>
    <row r="32" spans="1:8" ht="18.600000000000001" thickBot="1">
      <c r="A32" s="95"/>
      <c r="G32" s="93" t="s">
        <v>243</v>
      </c>
      <c r="H32" s="94">
        <f>+Operacion!H413</f>
        <v>0</v>
      </c>
    </row>
    <row r="33" spans="1:8">
      <c r="A33" s="95"/>
      <c r="B33" s="93" t="s">
        <v>107</v>
      </c>
      <c r="C33" s="84" t="str">
        <f>+Operacion!G409</f>
        <v>Seleccione Empresa</v>
      </c>
      <c r="E33" s="103" t="s">
        <v>244</v>
      </c>
      <c r="G33" s="93" t="s">
        <v>21</v>
      </c>
      <c r="H33" s="94">
        <f>+Operacion!H414</f>
        <v>0</v>
      </c>
    </row>
    <row r="34" spans="1:8" ht="18.600000000000001" thickBot="1">
      <c r="A34" s="95"/>
      <c r="B34" s="93" t="s">
        <v>249</v>
      </c>
      <c r="C34" s="63">
        <f>+Operacion!H410</f>
        <v>0</v>
      </c>
      <c r="E34" s="102">
        <f>+Operacion!L409</f>
        <v>0</v>
      </c>
      <c r="G34" s="93" t="s">
        <v>22</v>
      </c>
      <c r="H34" s="94">
        <f>+Operacion!L414</f>
        <v>0</v>
      </c>
    </row>
    <row r="35" spans="1:8">
      <c r="A35" s="95"/>
      <c r="B35" s="93" t="s">
        <v>18</v>
      </c>
      <c r="C35" s="84">
        <f>+Operacion!L410</f>
        <v>0</v>
      </c>
      <c r="H35" s="96"/>
    </row>
    <row r="36" spans="1:8">
      <c r="A36" s="95"/>
      <c r="H36" s="96"/>
    </row>
    <row r="37" spans="1:8" ht="18.75" customHeight="1">
      <c r="A37" s="95"/>
      <c r="B37" s="93" t="s">
        <v>247</v>
      </c>
      <c r="C37" s="84" t="str">
        <f>+Operacion!D410</f>
        <v>Seleccione Contactos GD</v>
      </c>
      <c r="G37" s="261" t="s">
        <v>248</v>
      </c>
      <c r="H37" s="263">
        <f>+Operacion!H416</f>
        <v>0</v>
      </c>
    </row>
    <row r="38" spans="1:8" ht="18.600000000000001" thickBot="1">
      <c r="A38" s="97"/>
      <c r="B38" s="98" t="s">
        <v>22</v>
      </c>
      <c r="C38" s="99">
        <f>+Operacion!F410</f>
        <v>0</v>
      </c>
      <c r="D38" s="100"/>
      <c r="E38" s="100"/>
      <c r="F38" s="101"/>
      <c r="G38" s="262"/>
      <c r="H38" s="264"/>
    </row>
  </sheetData>
  <sheetProtection algorithmName="SHA-512" hashValue="hMsYscYFeenM3a3ynsOK2c4FfyBQ0znDfVI+QCTGai8N5u8Bv9OxdutZWw/Uxf+O2fWYtFSRYIFCmAXXhd3IQw==" saltValue="ZgaBNGAEogdThfDbJ3P7gw==" spinCount="100000" sheet="1" objects="1" scenarios="1"/>
  <mergeCells count="6">
    <mergeCell ref="G13:G14"/>
    <mergeCell ref="H13:H14"/>
    <mergeCell ref="G25:G26"/>
    <mergeCell ref="H25:H26"/>
    <mergeCell ref="G37:G38"/>
    <mergeCell ref="H37:H3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tabColor rgb="FF92D050"/>
    <pageSetUpPr fitToPage="1"/>
  </sheetPr>
  <dimension ref="A1:M43"/>
  <sheetViews>
    <sheetView showGridLines="0" topLeftCell="B25" zoomScaleNormal="100" workbookViewId="0">
      <selection activeCell="E42" sqref="E42"/>
    </sheetView>
  </sheetViews>
  <sheetFormatPr defaultColWidth="11.42578125" defaultRowHeight="15.6"/>
  <cols>
    <col min="1" max="1" width="5.140625" style="10" hidden="1" customWidth="1"/>
    <col min="2" max="2" width="15.7109375" style="8" customWidth="1"/>
    <col min="3" max="3" width="6.28515625" style="10" customWidth="1"/>
    <col min="4" max="4" width="2.5703125" style="10" customWidth="1"/>
    <col min="5" max="5" width="42.7109375" style="21" customWidth="1"/>
    <col min="6" max="6" width="3.140625" style="10" customWidth="1"/>
    <col min="7" max="7" width="15.85546875" style="10" bestFit="1" customWidth="1"/>
    <col min="8" max="8" width="46.42578125" style="21" bestFit="1" customWidth="1"/>
    <col min="9" max="16384" width="11.42578125" style="10"/>
  </cols>
  <sheetData>
    <row r="1" spans="2:13" ht="16.149999999999999" thickBot="1">
      <c r="B1" s="2"/>
      <c r="C1" s="42"/>
      <c r="D1" s="42"/>
      <c r="E1" s="43"/>
      <c r="F1" s="42"/>
      <c r="G1" s="42"/>
      <c r="H1" s="44"/>
      <c r="I1" s="9"/>
    </row>
    <row r="2" spans="2:13" ht="21.6" thickBot="1">
      <c r="B2" s="13" t="s">
        <v>13</v>
      </c>
      <c r="C2" s="42"/>
      <c r="D2" s="42"/>
      <c r="E2" s="38" t="str">
        <f>+Operacion!G3</f>
        <v>Seleccione Empresa</v>
      </c>
      <c r="F2" s="45"/>
      <c r="G2" s="13" t="s">
        <v>250</v>
      </c>
      <c r="H2" s="46">
        <f>+Operacion!D1</f>
        <v>46278</v>
      </c>
      <c r="I2" s="9"/>
    </row>
    <row r="3" spans="2:13" ht="21.75" customHeight="1" thickBot="1">
      <c r="B3" s="6"/>
      <c r="C3" s="42"/>
      <c r="D3" s="42"/>
      <c r="E3" s="47"/>
      <c r="F3" s="48"/>
      <c r="G3" s="42"/>
      <c r="H3" s="22"/>
      <c r="I3" s="9"/>
    </row>
    <row r="4" spans="2:13" ht="21" customHeight="1" thickBot="1">
      <c r="B4" s="13" t="s">
        <v>245</v>
      </c>
      <c r="C4" s="42"/>
      <c r="D4" s="42"/>
      <c r="E4" s="39">
        <f>+Operacion!H4</f>
        <v>0</v>
      </c>
      <c r="F4" s="49"/>
      <c r="G4" s="13" t="s">
        <v>251</v>
      </c>
      <c r="H4" s="50">
        <f>+Operacion!L4</f>
        <v>0</v>
      </c>
      <c r="I4" s="265"/>
    </row>
    <row r="5" spans="2:13" ht="15.75" customHeight="1" thickBot="1">
      <c r="B5" s="2"/>
      <c r="C5" s="42"/>
      <c r="D5" s="42"/>
      <c r="E5" s="43"/>
      <c r="F5" s="42"/>
      <c r="G5" s="42"/>
      <c r="H5" s="44"/>
      <c r="I5" s="265"/>
    </row>
    <row r="6" spans="2:13" ht="26.45" thickBot="1">
      <c r="B6" s="13" t="s">
        <v>252</v>
      </c>
      <c r="C6" s="1"/>
      <c r="D6" s="42"/>
      <c r="E6" s="37" t="str">
        <f>+Operacion!B4</f>
        <v>GDU100</v>
      </c>
      <c r="F6" s="20"/>
      <c r="G6" s="13" t="s">
        <v>239</v>
      </c>
      <c r="H6" s="23" t="str">
        <f>VLOOKUP(E6,tablaequipo,6)</f>
        <v>KIA</v>
      </c>
      <c r="I6" s="9"/>
    </row>
    <row r="7" spans="2:13" ht="15.75" customHeight="1">
      <c r="B7" s="2"/>
      <c r="C7" s="42"/>
      <c r="D7" s="42"/>
      <c r="E7" s="23">
        <f>VLOOKUP(E6,tablaequipo,3)</f>
        <v>0</v>
      </c>
      <c r="F7" s="20"/>
      <c r="G7" s="13" t="s">
        <v>240</v>
      </c>
      <c r="H7" s="24" t="str">
        <f>VLOOKUP(E6,tablaequipo,7)</f>
        <v>K2500</v>
      </c>
      <c r="I7" s="9"/>
      <c r="M7" s="11"/>
    </row>
    <row r="8" spans="2:13" ht="15.75" customHeight="1" thickBot="1">
      <c r="B8" s="2"/>
      <c r="C8" s="42"/>
      <c r="D8" s="42"/>
      <c r="E8" s="25"/>
      <c r="F8" s="20"/>
      <c r="G8" s="13" t="s">
        <v>241</v>
      </c>
      <c r="H8" s="25" t="str">
        <f>VLOOKUP(E6,tablaequipo,8)</f>
        <v>ONT 594</v>
      </c>
      <c r="I8" s="9"/>
      <c r="M8" s="11"/>
    </row>
    <row r="9" spans="2:13" ht="16.5" customHeight="1" thickBot="1">
      <c r="B9" s="2"/>
      <c r="C9" s="42"/>
      <c r="D9" s="42"/>
      <c r="E9" s="45"/>
      <c r="F9" s="51"/>
      <c r="G9" s="42"/>
      <c r="H9" s="44"/>
      <c r="I9" s="9"/>
      <c r="M9" s="11" t="s">
        <v>253</v>
      </c>
    </row>
    <row r="10" spans="2:13" ht="21.6" thickBot="1">
      <c r="B10" s="13" t="s">
        <v>254</v>
      </c>
      <c r="C10" s="42"/>
      <c r="D10" s="42"/>
      <c r="E10" s="38">
        <f>+Operacion!D4</f>
        <v>0</v>
      </c>
      <c r="F10" s="45"/>
      <c r="G10" s="42"/>
      <c r="H10" s="44"/>
      <c r="I10" s="9"/>
    </row>
    <row r="11" spans="2:13" ht="15.75" customHeight="1">
      <c r="B11" s="2"/>
      <c r="C11" s="42"/>
      <c r="D11" s="42"/>
      <c r="E11" s="44"/>
      <c r="F11" s="1"/>
      <c r="G11" s="42"/>
      <c r="H11" s="44"/>
      <c r="I11" s="9"/>
      <c r="M11" s="9"/>
    </row>
    <row r="12" spans="2:13" ht="16.5" customHeight="1" thickBot="1">
      <c r="B12" s="2"/>
      <c r="C12" s="42"/>
      <c r="D12" s="42"/>
      <c r="E12" s="44"/>
      <c r="F12" s="1"/>
      <c r="G12" s="42"/>
      <c r="H12" s="44"/>
      <c r="I12" s="9"/>
      <c r="M12" s="12"/>
    </row>
    <row r="13" spans="2:13" ht="20.25" customHeight="1" thickBot="1">
      <c r="B13" s="13" t="s">
        <v>255</v>
      </c>
      <c r="C13" s="42"/>
      <c r="D13" s="52">
        <v>1</v>
      </c>
      <c r="E13" s="38">
        <f>+Operacion!D5</f>
        <v>0</v>
      </c>
      <c r="F13" s="45"/>
      <c r="G13" s="52">
        <v>4</v>
      </c>
      <c r="H13" s="38">
        <f>+Operacion!D8</f>
        <v>0</v>
      </c>
      <c r="I13" s="9"/>
    </row>
    <row r="14" spans="2:13" ht="20.25" customHeight="1" thickBot="1">
      <c r="B14" s="2"/>
      <c r="C14" s="42"/>
      <c r="D14" s="52">
        <v>2</v>
      </c>
      <c r="E14" s="38">
        <f>+Operacion!D6</f>
        <v>0</v>
      </c>
      <c r="F14" s="45"/>
      <c r="G14" s="52">
        <v>5</v>
      </c>
      <c r="H14" s="38">
        <f>+Operacion!D9</f>
        <v>0</v>
      </c>
      <c r="I14" s="9"/>
    </row>
    <row r="15" spans="2:13" ht="20.25" customHeight="1" thickBot="1">
      <c r="B15" s="2"/>
      <c r="C15" s="42"/>
      <c r="D15" s="52">
        <v>3</v>
      </c>
      <c r="E15" s="38">
        <f>+Operacion!D7</f>
        <v>0</v>
      </c>
      <c r="F15" s="45"/>
      <c r="G15" s="52">
        <v>6</v>
      </c>
      <c r="H15" s="38">
        <f>+Operacion!D10</f>
        <v>0</v>
      </c>
      <c r="I15" s="9"/>
    </row>
    <row r="16" spans="2:13" ht="20.25" customHeight="1" thickBot="1">
      <c r="B16" s="2"/>
      <c r="C16" s="42"/>
      <c r="D16" s="42"/>
      <c r="E16" s="44"/>
      <c r="F16" s="1"/>
      <c r="G16" s="42"/>
      <c r="H16" s="44"/>
      <c r="I16" s="9"/>
    </row>
    <row r="17" spans="2:9" ht="21.6" thickBot="1">
      <c r="B17" s="13" t="s">
        <v>256</v>
      </c>
      <c r="C17" s="42"/>
      <c r="D17" s="42"/>
      <c r="E17" s="40" t="str">
        <f>+Operacion!H9</f>
        <v>Seleccione Verificador</v>
      </c>
      <c r="F17" s="45"/>
      <c r="G17" s="42"/>
      <c r="H17" s="44"/>
      <c r="I17" s="9"/>
    </row>
    <row r="18" spans="2:9" ht="20.25" customHeight="1" thickBot="1">
      <c r="B18" s="2"/>
      <c r="C18" s="42"/>
      <c r="D18" s="42"/>
      <c r="E18" s="44"/>
      <c r="F18" s="1"/>
      <c r="G18" s="42"/>
      <c r="H18" s="44"/>
      <c r="I18" s="9"/>
    </row>
    <row r="19" spans="2:9" ht="21.6" thickBot="1">
      <c r="B19" s="13" t="s">
        <v>257</v>
      </c>
      <c r="C19" s="42"/>
      <c r="D19" s="42"/>
      <c r="E19" s="40" t="str">
        <f>+Operacion!K9</f>
        <v>Selección Operador</v>
      </c>
      <c r="F19" s="45"/>
      <c r="G19" s="42"/>
      <c r="H19" s="44"/>
      <c r="I19" s="9"/>
    </row>
    <row r="20" spans="2:9" ht="20.25" customHeight="1" thickBot="1">
      <c r="B20" s="2"/>
      <c r="C20" s="42"/>
      <c r="D20" s="42"/>
      <c r="E20" s="44"/>
      <c r="F20" s="1"/>
      <c r="G20" s="42"/>
      <c r="H20" s="44"/>
      <c r="I20" s="9"/>
    </row>
    <row r="21" spans="2:9" ht="20.25" customHeight="1">
      <c r="B21" s="13" t="s">
        <v>258</v>
      </c>
      <c r="C21" s="53"/>
      <c r="D21" s="53"/>
      <c r="E21" s="213">
        <f>+Operacion!H5</f>
        <v>0</v>
      </c>
      <c r="F21" s="214"/>
      <c r="G21" s="214"/>
      <c r="H21" s="215"/>
      <c r="I21" s="9"/>
    </row>
    <row r="22" spans="2:9" ht="20.25" customHeight="1">
      <c r="B22" s="2"/>
      <c r="C22" s="2"/>
      <c r="D22" s="2"/>
      <c r="E22" s="216"/>
      <c r="F22" s="217"/>
      <c r="G22" s="217"/>
      <c r="H22" s="218"/>
      <c r="I22" s="9"/>
    </row>
    <row r="23" spans="2:9" ht="20.25" customHeight="1" thickBot="1">
      <c r="B23" s="2"/>
      <c r="C23" s="54"/>
      <c r="D23" s="54"/>
      <c r="E23" s="219"/>
      <c r="F23" s="220"/>
      <c r="G23" s="220"/>
      <c r="H23" s="221"/>
      <c r="I23" s="9"/>
    </row>
    <row r="24" spans="2:9" ht="20.25" customHeight="1" thickBot="1">
      <c r="B24" s="2"/>
      <c r="C24" s="42"/>
      <c r="D24" s="42"/>
      <c r="E24" s="43"/>
      <c r="F24" s="42"/>
      <c r="G24" s="42"/>
      <c r="H24" s="44"/>
      <c r="I24" s="9"/>
    </row>
    <row r="25" spans="2:9" ht="20.25" customHeight="1">
      <c r="B25" s="13" t="s">
        <v>259</v>
      </c>
      <c r="C25" s="53"/>
      <c r="D25" s="53"/>
      <c r="E25" s="213">
        <f>+Operacion!H6</f>
        <v>0</v>
      </c>
      <c r="F25" s="214"/>
      <c r="G25" s="214"/>
      <c r="H25" s="215"/>
      <c r="I25" s="9"/>
    </row>
    <row r="26" spans="2:9" ht="20.25" customHeight="1" thickBot="1">
      <c r="B26" s="6"/>
      <c r="C26" s="55"/>
      <c r="D26" s="55"/>
      <c r="E26" s="219">
        <f>+Operacion!L6</f>
        <v>0</v>
      </c>
      <c r="F26" s="220"/>
      <c r="G26" s="220"/>
      <c r="H26" s="221"/>
      <c r="I26" s="9"/>
    </row>
    <row r="27" spans="2:9" ht="20.25" customHeight="1" thickBot="1">
      <c r="B27" s="6"/>
      <c r="C27" s="42"/>
      <c r="D27" s="42"/>
      <c r="E27" s="56"/>
      <c r="F27" s="55"/>
      <c r="G27" s="42"/>
      <c r="H27" s="44"/>
      <c r="I27" s="9"/>
    </row>
    <row r="28" spans="2:9" ht="20.25" customHeight="1">
      <c r="B28" s="13" t="s">
        <v>243</v>
      </c>
      <c r="C28" s="53"/>
      <c r="D28" s="53"/>
      <c r="E28" s="213">
        <f>+Operacion!H7</f>
        <v>0</v>
      </c>
      <c r="F28" s="214"/>
      <c r="G28" s="214"/>
      <c r="H28" s="215"/>
      <c r="I28" s="9"/>
    </row>
    <row r="29" spans="2:9" ht="20.25" customHeight="1">
      <c r="B29" s="2"/>
      <c r="C29" s="2"/>
      <c r="D29" s="2"/>
      <c r="E29" s="216"/>
      <c r="F29" s="217"/>
      <c r="G29" s="217"/>
      <c r="H29" s="218"/>
      <c r="I29" s="9"/>
    </row>
    <row r="30" spans="2:9" ht="20.25" customHeight="1" thickBot="1">
      <c r="B30" s="2"/>
      <c r="C30" s="2"/>
      <c r="D30" s="2"/>
      <c r="E30" s="219"/>
      <c r="F30" s="220"/>
      <c r="G30" s="220"/>
      <c r="H30" s="221"/>
      <c r="I30" s="9"/>
    </row>
    <row r="31" spans="2:9" ht="20.25" customHeight="1" thickBot="1">
      <c r="B31" s="6"/>
      <c r="C31" s="1"/>
      <c r="D31" s="1"/>
      <c r="E31" s="56"/>
      <c r="F31" s="55"/>
      <c r="G31" s="1"/>
      <c r="H31" s="44"/>
      <c r="I31" s="9"/>
    </row>
    <row r="32" spans="2:9" ht="20.25" customHeight="1">
      <c r="B32" s="13" t="s">
        <v>259</v>
      </c>
      <c r="C32" s="53"/>
      <c r="D32" s="53"/>
      <c r="E32" s="213">
        <f>+Operacion!H8</f>
        <v>0</v>
      </c>
      <c r="F32" s="214"/>
      <c r="G32" s="214"/>
      <c r="H32" s="215"/>
      <c r="I32" s="9"/>
    </row>
    <row r="33" spans="2:9" ht="20.25" customHeight="1" thickBot="1">
      <c r="B33" s="6"/>
      <c r="C33" s="55"/>
      <c r="D33" s="55"/>
      <c r="E33" s="219">
        <f>+Operacion!L8</f>
        <v>0</v>
      </c>
      <c r="F33" s="220"/>
      <c r="G33" s="220"/>
      <c r="H33" s="221"/>
      <c r="I33" s="9"/>
    </row>
    <row r="34" spans="2:9" ht="20.25" customHeight="1" thickBot="1">
      <c r="B34" s="6"/>
      <c r="C34" s="42"/>
      <c r="D34" s="42"/>
      <c r="E34" s="56"/>
      <c r="F34" s="55"/>
      <c r="G34" s="42"/>
      <c r="H34" s="44"/>
      <c r="I34" s="9"/>
    </row>
    <row r="35" spans="2:9" ht="20.25" customHeight="1">
      <c r="B35" s="13" t="s">
        <v>260</v>
      </c>
      <c r="C35" s="53"/>
      <c r="D35" s="53"/>
      <c r="E35" s="204"/>
      <c r="F35" s="205"/>
      <c r="G35" s="205"/>
      <c r="H35" s="206"/>
      <c r="I35" s="9"/>
    </row>
    <row r="36" spans="2:9" ht="20.25" customHeight="1">
      <c r="B36" s="2"/>
      <c r="C36" s="54"/>
      <c r="D36" s="54"/>
      <c r="E36" s="207"/>
      <c r="F36" s="208"/>
      <c r="G36" s="208"/>
      <c r="H36" s="209"/>
      <c r="I36" s="9"/>
    </row>
    <row r="37" spans="2:9" ht="20.25" customHeight="1">
      <c r="B37" s="2"/>
      <c r="C37" s="54"/>
      <c r="D37" s="54"/>
      <c r="E37" s="207"/>
      <c r="F37" s="208"/>
      <c r="G37" s="208"/>
      <c r="H37" s="209"/>
      <c r="I37" s="9"/>
    </row>
    <row r="38" spans="2:9" ht="20.25" customHeight="1" thickBot="1">
      <c r="B38" s="2"/>
      <c r="C38" s="54"/>
      <c r="D38" s="54"/>
      <c r="E38" s="210"/>
      <c r="F38" s="211"/>
      <c r="G38" s="211"/>
      <c r="H38" s="212"/>
      <c r="I38" s="9"/>
    </row>
    <row r="39" spans="2:9">
      <c r="C39" s="9"/>
      <c r="D39" s="9"/>
      <c r="E39" s="26"/>
      <c r="F39" s="9"/>
      <c r="G39" s="9"/>
      <c r="I39" s="9"/>
    </row>
    <row r="40" spans="2:9">
      <c r="C40" s="9"/>
      <c r="D40" s="9"/>
      <c r="E40" s="26"/>
      <c r="F40" s="9"/>
      <c r="G40" s="9"/>
      <c r="I40" s="9"/>
    </row>
    <row r="41" spans="2:9">
      <c r="C41" s="9"/>
      <c r="D41" s="9"/>
      <c r="E41" s="26"/>
      <c r="F41" s="9"/>
      <c r="G41" s="9"/>
      <c r="I41" s="9"/>
    </row>
    <row r="42" spans="2:9">
      <c r="C42" s="9"/>
      <c r="D42" s="9"/>
      <c r="E42" s="26"/>
      <c r="F42" s="9"/>
      <c r="G42" s="9"/>
      <c r="I42" s="9"/>
    </row>
    <row r="43" spans="2:9">
      <c r="C43" s="9"/>
      <c r="D43" s="9"/>
      <c r="E43" s="26"/>
      <c r="F43" s="9"/>
      <c r="G43" s="9"/>
      <c r="I43" s="9"/>
    </row>
  </sheetData>
  <sheetProtection algorithmName="SHA-512" hashValue="BT/Z+wW3hZ3uWEfWbLAYPia1r1Z8hP28VHczRD4WWvyEF14jLPPXsY/9xl4IvDegVsGRARlwV+Re725Bih4IzA==" saltValue="9DxWf2GAQxnaea/VvIgmKQ==" spinCount="100000" sheet="1" objects="1" scenarios="1"/>
  <dataConsolidate/>
  <mergeCells count="8">
    <mergeCell ref="I4:I5"/>
    <mergeCell ref="E35:H38"/>
    <mergeCell ref="E28:H30"/>
    <mergeCell ref="E21:H23"/>
    <mergeCell ref="E25:H25"/>
    <mergeCell ref="E26:H26"/>
    <mergeCell ref="E32:H32"/>
    <mergeCell ref="E33:H33"/>
  </mergeCells>
  <dataValidations count="3">
    <dataValidation type="list" allowBlank="1" showInputMessage="1" showErrorMessage="1" sqref="E6" xr:uid="{00000000-0002-0000-0600-000000000000}">
      <formula1>unidad</formula1>
    </dataValidation>
    <dataValidation type="list" allowBlank="1" showInputMessage="1" showErrorMessage="1" sqref="E10:F10 H13:H15" xr:uid="{00000000-0002-0000-0600-000001000000}">
      <formula1>$D$2:$D$47</formula1>
    </dataValidation>
    <dataValidation type="list" allowBlank="1" showInputMessage="1" showErrorMessage="1" sqref="E13:F15" xr:uid="{00000000-0002-0000-0600-000002000000}">
      <formula1>#REF!</formula1>
    </dataValidation>
  </dataValidations>
  <pageMargins left="0.28000000000000003" right="0.12" top="0.64" bottom="1" header="0" footer="0"/>
  <pageSetup paperSize="9" scale="76" orientation="portrait" horizontalDpi="4294967293" r:id="rId1"/>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3000000}">
          <x14:formula1>
            <xm:f>Verificador!$D$3:$D$8</xm:f>
          </x14:formula1>
          <xm:sqref>E17:F17</xm:sqref>
        </x14:dataValidation>
        <x14:dataValidation type="list" allowBlank="1" showInputMessage="1" showErrorMessage="1" xr:uid="{00000000-0002-0000-0600-000004000000}">
          <x14:formula1>
            <xm:f>Empresas!$C$2:$C$10</xm:f>
          </x14:formula1>
          <xm:sqref>E2:F2</xm:sqref>
        </x14:dataValidation>
        <x14:dataValidation type="list" allowBlank="1" showInputMessage="1" showErrorMessage="1" xr:uid="{00000000-0002-0000-0600-000005000000}">
          <x14:formula1>
            <xm:f>Operador!$D$5:$D$7</xm:f>
          </x14:formula1>
          <xm:sqref>E19:F19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tabColor rgb="FF92D050"/>
    <pageSetUpPr fitToPage="1"/>
  </sheetPr>
  <dimension ref="A1:M43"/>
  <sheetViews>
    <sheetView showGridLines="0" topLeftCell="B29" zoomScaleNormal="100" workbookViewId="0">
      <selection activeCell="E46" sqref="E46"/>
    </sheetView>
  </sheetViews>
  <sheetFormatPr defaultColWidth="11.42578125" defaultRowHeight="15.6"/>
  <cols>
    <col min="1" max="1" width="5.140625" style="10" hidden="1" customWidth="1"/>
    <col min="2" max="2" width="15.7109375" style="8" customWidth="1"/>
    <col min="3" max="3" width="6.28515625" style="10" customWidth="1"/>
    <col min="4" max="4" width="2.5703125" style="10" customWidth="1"/>
    <col min="5" max="5" width="42.7109375" style="21" customWidth="1"/>
    <col min="6" max="6" width="3.140625" style="10" customWidth="1"/>
    <col min="7" max="7" width="15.85546875" style="10" bestFit="1" customWidth="1"/>
    <col min="8" max="8" width="46.42578125" style="21" bestFit="1" customWidth="1"/>
    <col min="9" max="16384" width="11.42578125" style="10"/>
  </cols>
  <sheetData>
    <row r="1" spans="2:13" ht="16.149999999999999" thickBot="1">
      <c r="B1" s="2"/>
      <c r="C1" s="42"/>
      <c r="D1" s="42"/>
      <c r="E1" s="43"/>
      <c r="F1" s="42"/>
      <c r="G1" s="42"/>
      <c r="H1" s="44"/>
      <c r="I1" s="9"/>
    </row>
    <row r="2" spans="2:13" ht="21.6" thickBot="1">
      <c r="B2" s="13" t="s">
        <v>13</v>
      </c>
      <c r="C2" s="42"/>
      <c r="D2" s="42"/>
      <c r="E2" s="38" t="str">
        <f>+Operacion!G12</f>
        <v>Seleccione Empresa</v>
      </c>
      <c r="F2" s="45"/>
      <c r="G2" s="13" t="s">
        <v>250</v>
      </c>
      <c r="H2" s="46">
        <f>+Operacion!D1</f>
        <v>46278</v>
      </c>
      <c r="I2" s="9"/>
    </row>
    <row r="3" spans="2:13" ht="21.75" customHeight="1" thickBot="1">
      <c r="B3" s="6"/>
      <c r="C3" s="42"/>
      <c r="D3" s="42"/>
      <c r="E3" s="47"/>
      <c r="F3" s="48"/>
      <c r="G3" s="42"/>
      <c r="H3" s="22"/>
      <c r="I3" s="9"/>
    </row>
    <row r="4" spans="2:13" ht="21" customHeight="1" thickBot="1">
      <c r="B4" s="13" t="s">
        <v>245</v>
      </c>
      <c r="C4" s="42"/>
      <c r="D4" s="42"/>
      <c r="E4" s="39">
        <f>+Operacion!H13</f>
        <v>0</v>
      </c>
      <c r="F4" s="49"/>
      <c r="G4" s="13" t="s">
        <v>251</v>
      </c>
      <c r="H4" s="50">
        <f>+Operacion!L13</f>
        <v>0</v>
      </c>
      <c r="I4" s="265"/>
    </row>
    <row r="5" spans="2:13" ht="15.75" customHeight="1" thickBot="1">
      <c r="B5" s="2"/>
      <c r="C5" s="42"/>
      <c r="D5" s="42"/>
      <c r="E5" s="43"/>
      <c r="F5" s="42"/>
      <c r="G5" s="42"/>
      <c r="H5" s="44"/>
      <c r="I5" s="265"/>
    </row>
    <row r="6" spans="2:13" ht="26.45" thickBot="1">
      <c r="B6" s="13" t="s">
        <v>252</v>
      </c>
      <c r="C6" s="1"/>
      <c r="D6" s="42"/>
      <c r="E6" s="37" t="str">
        <f>+Operacion!B13</f>
        <v>GDU101</v>
      </c>
      <c r="F6" s="20"/>
      <c r="G6" s="13" t="s">
        <v>239</v>
      </c>
      <c r="H6" s="23" t="str">
        <f>VLOOKUP(E6,tablaequipo,6)</f>
        <v>HYUNDAI</v>
      </c>
      <c r="I6" s="9"/>
    </row>
    <row r="7" spans="2:13" ht="15.75" customHeight="1">
      <c r="B7" s="2"/>
      <c r="C7" s="42"/>
      <c r="D7" s="42"/>
      <c r="E7" s="23" t="str">
        <f>VLOOKUP(E6,tablaequipo,4)</f>
        <v xml:space="preserve">Camion </v>
      </c>
      <c r="F7" s="20"/>
      <c r="G7" s="13" t="s">
        <v>240</v>
      </c>
      <c r="H7" s="24" t="str">
        <f>VLOOKUP(E6,tablaequipo,7)</f>
        <v xml:space="preserve">HD78 </v>
      </c>
      <c r="I7" s="9"/>
      <c r="M7" s="11"/>
    </row>
    <row r="8" spans="2:13" ht="15.75" customHeight="1" thickBot="1">
      <c r="B8" s="2"/>
      <c r="C8" s="42"/>
      <c r="D8" s="42"/>
      <c r="E8" s="25">
        <f>VLOOKUP(E6,tablaequipo,5)</f>
        <v>0</v>
      </c>
      <c r="F8" s="20"/>
      <c r="G8" s="13" t="s">
        <v>241</v>
      </c>
      <c r="H8" s="25" t="str">
        <f>VLOOKUP(E6,tablaequipo,8)</f>
        <v>JLM 355</v>
      </c>
      <c r="I8" s="9"/>
      <c r="M8" s="11"/>
    </row>
    <row r="9" spans="2:13" ht="16.5" customHeight="1" thickBot="1">
      <c r="B9" s="2"/>
      <c r="C9" s="42"/>
      <c r="D9" s="42"/>
      <c r="E9" s="45"/>
      <c r="F9" s="51"/>
      <c r="G9" s="42"/>
      <c r="H9" s="44"/>
      <c r="I9" s="9"/>
      <c r="M9" s="11" t="s">
        <v>253</v>
      </c>
    </row>
    <row r="10" spans="2:13" ht="21.6" thickBot="1">
      <c r="B10" s="13" t="s">
        <v>254</v>
      </c>
      <c r="C10" s="42"/>
      <c r="D10" s="42"/>
      <c r="E10" s="38">
        <f>+Operacion!D13</f>
        <v>0</v>
      </c>
      <c r="F10" s="45"/>
      <c r="G10" s="42"/>
      <c r="H10" s="44"/>
      <c r="I10" s="9"/>
    </row>
    <row r="11" spans="2:13" ht="15.75" customHeight="1">
      <c r="B11" s="2"/>
      <c r="C11" s="42"/>
      <c r="D11" s="42"/>
      <c r="E11" s="44"/>
      <c r="F11" s="1"/>
      <c r="G11" s="42"/>
      <c r="H11" s="44"/>
      <c r="I11" s="9"/>
      <c r="M11" s="9"/>
    </row>
    <row r="12" spans="2:13" ht="16.5" customHeight="1" thickBot="1">
      <c r="B12" s="2"/>
      <c r="C12" s="42"/>
      <c r="D12" s="42"/>
      <c r="E12" s="44"/>
      <c r="F12" s="1"/>
      <c r="G12" s="42"/>
      <c r="H12" s="44"/>
      <c r="I12" s="9"/>
      <c r="M12" s="12"/>
    </row>
    <row r="13" spans="2:13" ht="20.25" customHeight="1" thickBot="1">
      <c r="B13" s="13" t="s">
        <v>255</v>
      </c>
      <c r="C13" s="42"/>
      <c r="D13" s="52">
        <v>1</v>
      </c>
      <c r="E13" s="38">
        <f>+Operacion!D14</f>
        <v>0</v>
      </c>
      <c r="F13" s="45"/>
      <c r="G13" s="52">
        <v>4</v>
      </c>
      <c r="H13" s="38">
        <f>+Operacion!D17</f>
        <v>0</v>
      </c>
      <c r="I13" s="9"/>
    </row>
    <row r="14" spans="2:13" ht="20.25" customHeight="1" thickBot="1">
      <c r="B14" s="2"/>
      <c r="C14" s="42"/>
      <c r="D14" s="52">
        <v>2</v>
      </c>
      <c r="E14" s="38">
        <f>+Operacion!D15</f>
        <v>0</v>
      </c>
      <c r="F14" s="45"/>
      <c r="G14" s="52">
        <v>5</v>
      </c>
      <c r="H14" s="38">
        <f>+Operacion!D18</f>
        <v>0</v>
      </c>
      <c r="I14" s="9"/>
    </row>
    <row r="15" spans="2:13" ht="20.25" customHeight="1" thickBot="1">
      <c r="B15" s="2"/>
      <c r="C15" s="42"/>
      <c r="D15" s="52">
        <v>3</v>
      </c>
      <c r="E15" s="38">
        <f>+Operacion!D16</f>
        <v>0</v>
      </c>
      <c r="F15" s="45"/>
      <c r="G15" s="52">
        <v>6</v>
      </c>
      <c r="H15" s="38">
        <f>+Operacion!D19</f>
        <v>0</v>
      </c>
      <c r="I15" s="9"/>
    </row>
    <row r="16" spans="2:13" ht="20.25" customHeight="1" thickBot="1">
      <c r="B16" s="2"/>
      <c r="C16" s="42"/>
      <c r="D16" s="42"/>
      <c r="E16" s="44"/>
      <c r="F16" s="1"/>
      <c r="G16" s="42"/>
      <c r="H16" s="44"/>
      <c r="I16" s="9"/>
    </row>
    <row r="17" spans="2:9" ht="21.6" thickBot="1">
      <c r="B17" s="13" t="s">
        <v>256</v>
      </c>
      <c r="C17" s="42"/>
      <c r="D17" s="42"/>
      <c r="E17" s="40" t="str">
        <f>+Operacion!H18</f>
        <v>Seleccione Verificador</v>
      </c>
      <c r="F17" s="45"/>
      <c r="G17" s="42"/>
      <c r="H17" s="44"/>
      <c r="I17" s="9"/>
    </row>
    <row r="18" spans="2:9" ht="20.25" customHeight="1" thickBot="1">
      <c r="B18" s="2"/>
      <c r="C18" s="42"/>
      <c r="D18" s="42"/>
      <c r="E18" s="44"/>
      <c r="F18" s="1"/>
      <c r="G18" s="42"/>
      <c r="H18" s="44"/>
      <c r="I18" s="9"/>
    </row>
    <row r="19" spans="2:9" ht="21.6" thickBot="1">
      <c r="B19" s="13" t="s">
        <v>257</v>
      </c>
      <c r="C19" s="42"/>
      <c r="D19" s="42"/>
      <c r="E19" s="40" t="str">
        <f>+Operacion!K18</f>
        <v>Selección Operador</v>
      </c>
      <c r="F19" s="45"/>
      <c r="G19" s="42"/>
      <c r="H19" s="44"/>
      <c r="I19" s="9"/>
    </row>
    <row r="20" spans="2:9" ht="20.25" customHeight="1" thickBot="1">
      <c r="B20" s="2"/>
      <c r="C20" s="42"/>
      <c r="D20" s="42"/>
      <c r="E20" s="44"/>
      <c r="F20" s="1"/>
      <c r="G20" s="42"/>
      <c r="H20" s="44"/>
      <c r="I20" s="9"/>
    </row>
    <row r="21" spans="2:9" ht="20.25" customHeight="1">
      <c r="B21" s="13" t="s">
        <v>258</v>
      </c>
      <c r="C21" s="53"/>
      <c r="D21" s="53"/>
      <c r="E21" s="213">
        <f>+Operacion!H14</f>
        <v>0</v>
      </c>
      <c r="F21" s="214"/>
      <c r="G21" s="214"/>
      <c r="H21" s="215"/>
      <c r="I21" s="9"/>
    </row>
    <row r="22" spans="2:9" ht="20.25" customHeight="1">
      <c r="B22" s="2"/>
      <c r="C22" s="2"/>
      <c r="D22" s="2"/>
      <c r="E22" s="216"/>
      <c r="F22" s="217"/>
      <c r="G22" s="217"/>
      <c r="H22" s="218"/>
      <c r="I22" s="9"/>
    </row>
    <row r="23" spans="2:9" ht="20.25" customHeight="1" thickBot="1">
      <c r="B23" s="2"/>
      <c r="C23" s="54"/>
      <c r="D23" s="54"/>
      <c r="E23" s="219"/>
      <c r="F23" s="220"/>
      <c r="G23" s="220"/>
      <c r="H23" s="221"/>
      <c r="I23" s="9"/>
    </row>
    <row r="24" spans="2:9" ht="20.25" customHeight="1" thickBot="1">
      <c r="B24" s="2"/>
      <c r="C24" s="42"/>
      <c r="D24" s="42"/>
      <c r="E24" s="43"/>
      <c r="F24" s="42"/>
      <c r="G24" s="42"/>
      <c r="H24" s="44"/>
      <c r="I24" s="9"/>
    </row>
    <row r="25" spans="2:9" ht="20.25" customHeight="1">
      <c r="B25" s="13" t="s">
        <v>259</v>
      </c>
      <c r="C25" s="53"/>
      <c r="D25" s="53"/>
      <c r="E25" s="213">
        <f>+Operacion!H15</f>
        <v>0</v>
      </c>
      <c r="F25" s="214"/>
      <c r="G25" s="214"/>
      <c r="H25" s="215"/>
      <c r="I25" s="9"/>
    </row>
    <row r="26" spans="2:9" ht="20.25" customHeight="1" thickBot="1">
      <c r="B26" s="6"/>
      <c r="C26" s="55"/>
      <c r="D26" s="55"/>
      <c r="E26" s="219">
        <f>+Operacion!L15</f>
        <v>0</v>
      </c>
      <c r="F26" s="220"/>
      <c r="G26" s="220"/>
      <c r="H26" s="221"/>
      <c r="I26" s="9"/>
    </row>
    <row r="27" spans="2:9" ht="20.25" customHeight="1" thickBot="1">
      <c r="B27" s="6"/>
      <c r="C27" s="42"/>
      <c r="D27" s="42"/>
      <c r="E27" s="56"/>
      <c r="F27" s="55"/>
      <c r="G27" s="42"/>
      <c r="H27" s="44"/>
      <c r="I27" s="9"/>
    </row>
    <row r="28" spans="2:9" ht="20.25" customHeight="1">
      <c r="B28" s="13" t="s">
        <v>243</v>
      </c>
      <c r="C28" s="53"/>
      <c r="D28" s="53"/>
      <c r="E28" s="213">
        <f>+Operacion!H16</f>
        <v>0</v>
      </c>
      <c r="F28" s="214"/>
      <c r="G28" s="214"/>
      <c r="H28" s="215"/>
      <c r="I28" s="9"/>
    </row>
    <row r="29" spans="2:9" ht="20.25" customHeight="1">
      <c r="B29" s="2"/>
      <c r="C29" s="2"/>
      <c r="D29" s="2"/>
      <c r="E29" s="216"/>
      <c r="F29" s="217"/>
      <c r="G29" s="217"/>
      <c r="H29" s="218"/>
      <c r="I29" s="9"/>
    </row>
    <row r="30" spans="2:9" ht="20.25" customHeight="1" thickBot="1">
      <c r="B30" s="2"/>
      <c r="C30" s="2"/>
      <c r="D30" s="2"/>
      <c r="E30" s="219"/>
      <c r="F30" s="220"/>
      <c r="G30" s="220"/>
      <c r="H30" s="221"/>
      <c r="I30" s="9"/>
    </row>
    <row r="31" spans="2:9" ht="20.25" customHeight="1" thickBot="1">
      <c r="B31" s="6"/>
      <c r="C31" s="1"/>
      <c r="D31" s="1"/>
      <c r="E31" s="56"/>
      <c r="F31" s="55"/>
      <c r="G31" s="1"/>
      <c r="H31" s="44"/>
      <c r="I31" s="9"/>
    </row>
    <row r="32" spans="2:9" ht="20.25" customHeight="1">
      <c r="B32" s="13" t="s">
        <v>259</v>
      </c>
      <c r="C32" s="53"/>
      <c r="D32" s="53"/>
      <c r="E32" s="213">
        <f>+Operacion!H17</f>
        <v>0</v>
      </c>
      <c r="F32" s="214"/>
      <c r="G32" s="214"/>
      <c r="H32" s="215"/>
      <c r="I32" s="9"/>
    </row>
    <row r="33" spans="2:9" ht="20.25" customHeight="1" thickBot="1">
      <c r="B33" s="6"/>
      <c r="C33" s="55"/>
      <c r="D33" s="55"/>
      <c r="E33" s="219">
        <f>+Operacion!L17</f>
        <v>0</v>
      </c>
      <c r="F33" s="220"/>
      <c r="G33" s="220"/>
      <c r="H33" s="221"/>
      <c r="I33" s="9"/>
    </row>
    <row r="34" spans="2:9" ht="20.25" customHeight="1" thickBot="1">
      <c r="B34" s="6"/>
      <c r="C34" s="42"/>
      <c r="D34" s="42"/>
      <c r="E34" s="56"/>
      <c r="F34" s="55"/>
      <c r="G34" s="42"/>
      <c r="H34" s="44"/>
      <c r="I34" s="9"/>
    </row>
    <row r="35" spans="2:9" ht="20.25" customHeight="1">
      <c r="B35" s="13" t="s">
        <v>260</v>
      </c>
      <c r="C35" s="53"/>
      <c r="D35" s="53"/>
      <c r="E35" s="204"/>
      <c r="F35" s="205"/>
      <c r="G35" s="205"/>
      <c r="H35" s="206"/>
      <c r="I35" s="9"/>
    </row>
    <row r="36" spans="2:9" ht="20.25" customHeight="1">
      <c r="B36" s="2"/>
      <c r="C36" s="54"/>
      <c r="D36" s="54"/>
      <c r="E36" s="207"/>
      <c r="F36" s="208"/>
      <c r="G36" s="208"/>
      <c r="H36" s="209"/>
      <c r="I36" s="9"/>
    </row>
    <row r="37" spans="2:9" ht="20.25" customHeight="1">
      <c r="B37" s="2"/>
      <c r="C37" s="54"/>
      <c r="D37" s="54"/>
      <c r="E37" s="207"/>
      <c r="F37" s="208"/>
      <c r="G37" s="208"/>
      <c r="H37" s="209"/>
      <c r="I37" s="9"/>
    </row>
    <row r="38" spans="2:9" ht="20.25" customHeight="1" thickBot="1">
      <c r="B38" s="2"/>
      <c r="C38" s="54"/>
      <c r="D38" s="54"/>
      <c r="E38" s="210"/>
      <c r="F38" s="211"/>
      <c r="G38" s="211"/>
      <c r="H38" s="212"/>
      <c r="I38" s="9"/>
    </row>
    <row r="39" spans="2:9">
      <c r="C39" s="9"/>
      <c r="D39" s="9"/>
      <c r="E39" s="26"/>
      <c r="F39" s="9"/>
      <c r="G39" s="9"/>
      <c r="I39" s="9"/>
    </row>
    <row r="40" spans="2:9">
      <c r="C40" s="9"/>
      <c r="D40" s="9"/>
      <c r="E40" s="26"/>
      <c r="F40" s="9"/>
      <c r="G40" s="9"/>
      <c r="I40" s="9"/>
    </row>
    <row r="41" spans="2:9">
      <c r="C41" s="9"/>
      <c r="D41" s="9"/>
      <c r="E41" s="26"/>
      <c r="F41" s="9"/>
      <c r="G41" s="9"/>
      <c r="I41" s="9"/>
    </row>
    <row r="42" spans="2:9">
      <c r="C42" s="9"/>
      <c r="D42" s="9"/>
      <c r="E42" s="26"/>
      <c r="F42" s="9"/>
      <c r="G42" s="9"/>
      <c r="I42" s="9"/>
    </row>
    <row r="43" spans="2:9">
      <c r="C43" s="9"/>
      <c r="D43" s="9"/>
      <c r="E43" s="26"/>
      <c r="F43" s="9"/>
      <c r="G43" s="9"/>
      <c r="I43" s="9"/>
    </row>
  </sheetData>
  <sheetProtection algorithmName="SHA-512" hashValue="v44z0aCpRT9s5FZF2advvjGLNKilKZ5CNaLvf2mofDdRs28PoedhxpoJ/6Cc7Coxdv1OEi95yBXfB2DajnmWbg==" saltValue="jeA/B80lQcJ+YMHU+Mgndg==" spinCount="100000" sheet="1" objects="1" scenarios="1"/>
  <dataConsolidate/>
  <mergeCells count="8">
    <mergeCell ref="E35:H38"/>
    <mergeCell ref="I4:I5"/>
    <mergeCell ref="E25:H25"/>
    <mergeCell ref="E26:H26"/>
    <mergeCell ref="E21:H23"/>
    <mergeCell ref="E28:H30"/>
    <mergeCell ref="E32:H32"/>
    <mergeCell ref="E33:H33"/>
  </mergeCells>
  <dataValidations count="2">
    <dataValidation type="list" allowBlank="1" showInputMessage="1" showErrorMessage="1" sqref="E6" xr:uid="{00000000-0002-0000-0700-000000000000}">
      <formula1>unidad</formula1>
    </dataValidation>
    <dataValidation type="list" allowBlank="1" showInputMessage="1" showErrorMessage="1" sqref="F13:F15" xr:uid="{00000000-0002-0000-0700-000001000000}">
      <formula1>#REF!</formula1>
    </dataValidation>
  </dataValidations>
  <pageMargins left="0.28000000000000003" right="0.12" top="0.64" bottom="1" header="0" footer="0"/>
  <pageSetup paperSize="9" scale="53" orientation="portrait" horizontalDpi="4294967293" r:id="rId1"/>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2000000}">
          <x14:formula1>
            <xm:f>Empresas!$C$2:$C$10</xm:f>
          </x14:formula1>
          <xm:sqref>E2:F2</xm:sqref>
        </x14:dataValidation>
        <x14:dataValidation type="list" allowBlank="1" showInputMessage="1" showErrorMessage="1" xr:uid="{00000000-0002-0000-0700-000003000000}">
          <x14:formula1>
            <xm:f>Verificador!$D$3:$D$8</xm:f>
          </x14:formula1>
          <xm:sqref>F17</xm:sqref>
        </x14:dataValidation>
        <x14:dataValidation type="list" allowBlank="1" showInputMessage="1" showErrorMessage="1" xr:uid="{00000000-0002-0000-0700-000004000000}">
          <x14:formula1>
            <xm:f>Operador!$D$5:$D$7</xm:f>
          </x14:formula1>
          <xm:sqref>F19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7">
    <tabColor rgb="FF92D050"/>
    <pageSetUpPr fitToPage="1"/>
  </sheetPr>
  <dimension ref="A1:M43"/>
  <sheetViews>
    <sheetView showGridLines="0" topLeftCell="B25" zoomScaleNormal="100" workbookViewId="0">
      <selection activeCell="H43" sqref="H43"/>
    </sheetView>
  </sheetViews>
  <sheetFormatPr defaultColWidth="11.42578125" defaultRowHeight="15.6"/>
  <cols>
    <col min="1" max="1" width="5.140625" style="10" hidden="1" customWidth="1"/>
    <col min="2" max="2" width="15.7109375" style="8" customWidth="1"/>
    <col min="3" max="3" width="6.28515625" style="10" customWidth="1"/>
    <col min="4" max="4" width="2.5703125" style="10" customWidth="1"/>
    <col min="5" max="5" width="42.7109375" style="21" customWidth="1"/>
    <col min="6" max="6" width="3.140625" style="10" customWidth="1"/>
    <col min="7" max="7" width="15.85546875" style="10" bestFit="1" customWidth="1"/>
    <col min="8" max="8" width="46.42578125" style="21" bestFit="1" customWidth="1"/>
    <col min="9" max="16384" width="11.42578125" style="10"/>
  </cols>
  <sheetData>
    <row r="1" spans="2:13" ht="16.149999999999999" thickBot="1">
      <c r="B1" s="2"/>
      <c r="C1" s="42"/>
      <c r="D1" s="42"/>
      <c r="E1" s="43"/>
      <c r="F1" s="42"/>
      <c r="G1" s="42"/>
      <c r="H1" s="44"/>
      <c r="I1" s="9"/>
    </row>
    <row r="2" spans="2:13" ht="21.6" thickBot="1">
      <c r="B2" s="13" t="s">
        <v>13</v>
      </c>
      <c r="C2" s="42"/>
      <c r="D2" s="42"/>
      <c r="E2" s="38" t="str">
        <f>+Operacion!G21</f>
        <v>Seleccione Empresa</v>
      </c>
      <c r="F2" s="45"/>
      <c r="G2" s="13" t="s">
        <v>250</v>
      </c>
      <c r="H2" s="46">
        <f>+Operacion!D1</f>
        <v>46278</v>
      </c>
      <c r="I2" s="9"/>
    </row>
    <row r="3" spans="2:13" ht="21.75" customHeight="1" thickBot="1">
      <c r="B3" s="6"/>
      <c r="C3" s="42"/>
      <c r="D3" s="42"/>
      <c r="E3" s="47"/>
      <c r="F3" s="48"/>
      <c r="G3" s="42"/>
      <c r="H3" s="22"/>
      <c r="I3" s="9"/>
    </row>
    <row r="4" spans="2:13" ht="21" customHeight="1" thickBot="1">
      <c r="B4" s="13" t="s">
        <v>245</v>
      </c>
      <c r="C4" s="42"/>
      <c r="D4" s="42"/>
      <c r="E4" s="39">
        <f>+Operacion!H22</f>
        <v>0</v>
      </c>
      <c r="F4" s="49"/>
      <c r="G4" s="13" t="s">
        <v>251</v>
      </c>
      <c r="H4" s="50">
        <f>+Operacion!L22</f>
        <v>0</v>
      </c>
      <c r="I4" s="265"/>
    </row>
    <row r="5" spans="2:13" ht="15.75" customHeight="1" thickBot="1">
      <c r="B5" s="2"/>
      <c r="C5" s="42"/>
      <c r="D5" s="42"/>
      <c r="E5" s="43"/>
      <c r="F5" s="42"/>
      <c r="G5" s="42"/>
      <c r="H5" s="44"/>
      <c r="I5" s="265"/>
    </row>
    <row r="6" spans="2:13" ht="26.45" thickBot="1">
      <c r="B6" s="13" t="s">
        <v>252</v>
      </c>
      <c r="C6" s="1"/>
      <c r="D6" s="42"/>
      <c r="E6" s="37" t="str">
        <f>+Operacion!B22</f>
        <v>GDU105</v>
      </c>
      <c r="F6" s="20"/>
      <c r="G6" s="13" t="s">
        <v>239</v>
      </c>
      <c r="H6" s="23" t="str">
        <f>VLOOKUP(E6,tablaequipo,6)</f>
        <v>VOLKSWAGEN</v>
      </c>
      <c r="I6" s="9"/>
    </row>
    <row r="7" spans="2:13" ht="15.75" customHeight="1">
      <c r="B7" s="2"/>
      <c r="C7" s="42"/>
      <c r="D7" s="42"/>
      <c r="E7" s="23" t="str">
        <f>VLOOKUP(E6,tablaequipo,4)</f>
        <v xml:space="preserve">Camion </v>
      </c>
      <c r="F7" s="20"/>
      <c r="G7" s="13" t="s">
        <v>240</v>
      </c>
      <c r="H7" s="24">
        <f>VLOOKUP(E6,tablaequipo,7)</f>
        <v>9150</v>
      </c>
      <c r="I7" s="9"/>
      <c r="M7" s="11"/>
    </row>
    <row r="8" spans="2:13" ht="15.75" customHeight="1" thickBot="1">
      <c r="B8" s="2"/>
      <c r="C8" s="42"/>
      <c r="D8" s="42"/>
      <c r="E8" s="25">
        <f>VLOOKUP(E6,tablaequipo,5)</f>
        <v>0</v>
      </c>
      <c r="F8" s="20"/>
      <c r="G8" s="13" t="s">
        <v>241</v>
      </c>
      <c r="H8" s="25" t="str">
        <f>VLOOKUP(E6,tablaequipo,8)</f>
        <v>MRF 907</v>
      </c>
      <c r="I8" s="9"/>
      <c r="M8" s="11"/>
    </row>
    <row r="9" spans="2:13" ht="16.5" customHeight="1" thickBot="1">
      <c r="B9" s="2"/>
      <c r="C9" s="42"/>
      <c r="D9" s="42"/>
      <c r="E9" s="45"/>
      <c r="F9" s="51"/>
      <c r="G9" s="42"/>
      <c r="H9" s="44"/>
      <c r="I9" s="9"/>
      <c r="M9" s="11" t="s">
        <v>253</v>
      </c>
    </row>
    <row r="10" spans="2:13" ht="21.6" thickBot="1">
      <c r="B10" s="13" t="s">
        <v>254</v>
      </c>
      <c r="C10" s="42"/>
      <c r="D10" s="42"/>
      <c r="E10" s="38" t="str">
        <f>+Operacion!D22</f>
        <v>Seleccione Chofer</v>
      </c>
      <c r="F10" s="45"/>
      <c r="G10" s="42"/>
      <c r="H10" s="44"/>
      <c r="I10" s="9"/>
    </row>
    <row r="11" spans="2:13" ht="15.75" customHeight="1">
      <c r="B11" s="2"/>
      <c r="C11" s="42"/>
      <c r="D11" s="42"/>
      <c r="E11" s="44"/>
      <c r="F11" s="1"/>
      <c r="G11" s="42"/>
      <c r="H11" s="44"/>
      <c r="I11" s="9"/>
      <c r="M11" s="9"/>
    </row>
    <row r="12" spans="2:13" ht="16.5" customHeight="1" thickBot="1">
      <c r="B12" s="2"/>
      <c r="C12" s="42"/>
      <c r="D12" s="42"/>
      <c r="E12" s="44"/>
      <c r="F12" s="1"/>
      <c r="G12" s="42"/>
      <c r="H12" s="44"/>
      <c r="I12" s="9"/>
      <c r="M12" s="12"/>
    </row>
    <row r="13" spans="2:13" ht="20.25" customHeight="1" thickBot="1">
      <c r="B13" s="13" t="s">
        <v>255</v>
      </c>
      <c r="C13" s="42"/>
      <c r="D13" s="52">
        <v>1</v>
      </c>
      <c r="E13" s="38" t="str">
        <f>+Operacion!D23</f>
        <v>Selección Acompanante</v>
      </c>
      <c r="F13" s="45"/>
      <c r="G13" s="52">
        <v>4</v>
      </c>
      <c r="H13" s="38" t="str">
        <f>+Operacion!D26</f>
        <v>Selección Acompanante</v>
      </c>
      <c r="I13" s="9"/>
    </row>
    <row r="14" spans="2:13" ht="20.25" customHeight="1" thickBot="1">
      <c r="B14" s="2"/>
      <c r="C14" s="42"/>
      <c r="D14" s="52">
        <v>2</v>
      </c>
      <c r="E14" s="38" t="str">
        <f>+Operacion!D24</f>
        <v>Selección Acompanante</v>
      </c>
      <c r="F14" s="45"/>
      <c r="G14" s="52">
        <v>5</v>
      </c>
      <c r="H14" s="38" t="str">
        <f>+Operacion!D27</f>
        <v>Selección Acompanante</v>
      </c>
      <c r="I14" s="9"/>
    </row>
    <row r="15" spans="2:13" ht="20.25" customHeight="1" thickBot="1">
      <c r="B15" s="2"/>
      <c r="C15" s="42"/>
      <c r="D15" s="52">
        <v>3</v>
      </c>
      <c r="E15" s="38" t="str">
        <f>+Operacion!D25</f>
        <v>Selección Acompanante</v>
      </c>
      <c r="F15" s="45"/>
      <c r="G15" s="52">
        <v>6</v>
      </c>
      <c r="H15" s="38" t="str">
        <f>+Operacion!D28</f>
        <v>Selección Acompanante</v>
      </c>
      <c r="I15" s="9"/>
    </row>
    <row r="16" spans="2:13" ht="20.25" customHeight="1" thickBot="1">
      <c r="B16" s="2"/>
      <c r="C16" s="42"/>
      <c r="D16" s="42"/>
      <c r="E16" s="44"/>
      <c r="F16" s="1"/>
      <c r="G16" s="42"/>
      <c r="H16" s="44"/>
      <c r="I16" s="9"/>
    </row>
    <row r="17" spans="2:9" ht="21.6" thickBot="1">
      <c r="B17" s="13" t="s">
        <v>256</v>
      </c>
      <c r="C17" s="42"/>
      <c r="D17" s="42"/>
      <c r="E17" s="40" t="str">
        <f>+Operacion!H27</f>
        <v>Seleccione Verificador</v>
      </c>
      <c r="F17" s="45"/>
      <c r="G17" s="42"/>
      <c r="H17" s="44"/>
      <c r="I17" s="9"/>
    </row>
    <row r="18" spans="2:9" ht="20.25" customHeight="1" thickBot="1">
      <c r="B18" s="2"/>
      <c r="C18" s="42"/>
      <c r="D18" s="42"/>
      <c r="E18" s="44"/>
      <c r="F18" s="1"/>
      <c r="G18" s="42"/>
      <c r="H18" s="44"/>
      <c r="I18" s="9"/>
    </row>
    <row r="19" spans="2:9" ht="21.6" thickBot="1">
      <c r="B19" s="13" t="s">
        <v>257</v>
      </c>
      <c r="C19" s="42"/>
      <c r="D19" s="42"/>
      <c r="E19" s="40" t="str">
        <f>+Operacion!K27</f>
        <v>Selección Operador</v>
      </c>
      <c r="F19" s="45"/>
      <c r="G19" s="42"/>
      <c r="H19" s="44"/>
      <c r="I19" s="9"/>
    </row>
    <row r="20" spans="2:9" ht="20.25" customHeight="1" thickBot="1">
      <c r="B20" s="2"/>
      <c r="C20" s="42"/>
      <c r="D20" s="42"/>
      <c r="E20" s="44"/>
      <c r="F20" s="1"/>
      <c r="G20" s="42"/>
      <c r="H20" s="44"/>
      <c r="I20" s="9"/>
    </row>
    <row r="21" spans="2:9" ht="20.25" customHeight="1">
      <c r="B21" s="13" t="s">
        <v>258</v>
      </c>
      <c r="C21" s="53"/>
      <c r="D21" s="53"/>
      <c r="E21" s="213">
        <f>+Operacion!H23</f>
        <v>0</v>
      </c>
      <c r="F21" s="214"/>
      <c r="G21" s="214"/>
      <c r="H21" s="215"/>
      <c r="I21" s="9"/>
    </row>
    <row r="22" spans="2:9" ht="20.25" customHeight="1">
      <c r="B22" s="2"/>
      <c r="C22" s="2"/>
      <c r="D22" s="2"/>
      <c r="E22" s="216"/>
      <c r="F22" s="217"/>
      <c r="G22" s="217"/>
      <c r="H22" s="218"/>
      <c r="I22" s="9"/>
    </row>
    <row r="23" spans="2:9" ht="20.25" customHeight="1" thickBot="1">
      <c r="B23" s="2"/>
      <c r="C23" s="54"/>
      <c r="D23" s="54"/>
      <c r="E23" s="219"/>
      <c r="F23" s="220"/>
      <c r="G23" s="220"/>
      <c r="H23" s="221"/>
      <c r="I23" s="9"/>
    </row>
    <row r="24" spans="2:9" ht="20.25" customHeight="1" thickBot="1">
      <c r="B24" s="2"/>
      <c r="C24" s="42"/>
      <c r="D24" s="42"/>
      <c r="E24" s="43"/>
      <c r="F24" s="42"/>
      <c r="G24" s="42"/>
      <c r="H24" s="44"/>
      <c r="I24" s="9"/>
    </row>
    <row r="25" spans="2:9" ht="20.25" customHeight="1">
      <c r="B25" s="13" t="s">
        <v>259</v>
      </c>
      <c r="C25" s="53"/>
      <c r="D25" s="53"/>
      <c r="E25" s="213">
        <f>+Operacion!H24</f>
        <v>0</v>
      </c>
      <c r="F25" s="214"/>
      <c r="G25" s="214"/>
      <c r="H25" s="215"/>
      <c r="I25" s="9"/>
    </row>
    <row r="26" spans="2:9" ht="20.25" customHeight="1" thickBot="1">
      <c r="B26" s="6"/>
      <c r="C26" s="55"/>
      <c r="D26" s="55"/>
      <c r="E26" s="219">
        <f>+Operacion!L24</f>
        <v>0</v>
      </c>
      <c r="F26" s="220"/>
      <c r="G26" s="220"/>
      <c r="H26" s="221"/>
      <c r="I26" s="9"/>
    </row>
    <row r="27" spans="2:9" ht="20.25" customHeight="1" thickBot="1">
      <c r="B27" s="6"/>
      <c r="C27" s="42"/>
      <c r="D27" s="42"/>
      <c r="E27" s="56"/>
      <c r="F27" s="55"/>
      <c r="G27" s="42"/>
      <c r="H27" s="44"/>
      <c r="I27" s="9"/>
    </row>
    <row r="28" spans="2:9" ht="20.25" customHeight="1">
      <c r="B28" s="13" t="s">
        <v>243</v>
      </c>
      <c r="C28" s="53"/>
      <c r="D28" s="53"/>
      <c r="E28" s="213">
        <f>+Operacion!H25</f>
        <v>0</v>
      </c>
      <c r="F28" s="214"/>
      <c r="G28" s="214"/>
      <c r="H28" s="215"/>
      <c r="I28" s="9"/>
    </row>
    <row r="29" spans="2:9" ht="20.25" customHeight="1">
      <c r="B29" s="2"/>
      <c r="C29" s="2"/>
      <c r="D29" s="2"/>
      <c r="E29" s="216"/>
      <c r="F29" s="217"/>
      <c r="G29" s="217"/>
      <c r="H29" s="218"/>
      <c r="I29" s="9"/>
    </row>
    <row r="30" spans="2:9" ht="20.25" customHeight="1" thickBot="1">
      <c r="B30" s="2"/>
      <c r="C30" s="2"/>
      <c r="D30" s="2"/>
      <c r="E30" s="219"/>
      <c r="F30" s="220"/>
      <c r="G30" s="220"/>
      <c r="H30" s="221"/>
      <c r="I30" s="9"/>
    </row>
    <row r="31" spans="2:9" ht="20.25" customHeight="1" thickBot="1">
      <c r="B31" s="6"/>
      <c r="C31" s="1"/>
      <c r="D31" s="1"/>
      <c r="E31" s="56"/>
      <c r="F31" s="55"/>
      <c r="G31" s="1"/>
      <c r="H31" s="44"/>
      <c r="I31" s="9"/>
    </row>
    <row r="32" spans="2:9" ht="20.25" customHeight="1">
      <c r="B32" s="13" t="s">
        <v>259</v>
      </c>
      <c r="C32" s="53"/>
      <c r="D32" s="53"/>
      <c r="E32" s="213">
        <f>+Operacion!H26</f>
        <v>0</v>
      </c>
      <c r="F32" s="214"/>
      <c r="G32" s="214"/>
      <c r="H32" s="215"/>
      <c r="I32" s="9"/>
    </row>
    <row r="33" spans="2:9" ht="20.25" customHeight="1" thickBot="1">
      <c r="B33" s="6"/>
      <c r="C33" s="55"/>
      <c r="D33" s="55"/>
      <c r="E33" s="219">
        <f>+Operacion!L26</f>
        <v>0</v>
      </c>
      <c r="F33" s="220"/>
      <c r="G33" s="220"/>
      <c r="H33" s="221"/>
      <c r="I33" s="9"/>
    </row>
    <row r="34" spans="2:9" ht="20.25" customHeight="1" thickBot="1">
      <c r="B34" s="6"/>
      <c r="C34" s="42"/>
      <c r="D34" s="42"/>
      <c r="E34" s="56"/>
      <c r="F34" s="55"/>
      <c r="G34" s="42"/>
      <c r="H34" s="44"/>
      <c r="I34" s="9"/>
    </row>
    <row r="35" spans="2:9" ht="20.25" customHeight="1">
      <c r="B35" s="13" t="s">
        <v>260</v>
      </c>
      <c r="C35" s="53"/>
      <c r="D35" s="53"/>
      <c r="E35" s="204"/>
      <c r="F35" s="205"/>
      <c r="G35" s="205"/>
      <c r="H35" s="206"/>
      <c r="I35" s="9"/>
    </row>
    <row r="36" spans="2:9" ht="20.25" customHeight="1">
      <c r="B36" s="2"/>
      <c r="C36" s="54"/>
      <c r="D36" s="54"/>
      <c r="E36" s="207"/>
      <c r="F36" s="208"/>
      <c r="G36" s="208"/>
      <c r="H36" s="209"/>
      <c r="I36" s="9"/>
    </row>
    <row r="37" spans="2:9" ht="20.25" customHeight="1">
      <c r="B37" s="2"/>
      <c r="C37" s="54"/>
      <c r="D37" s="54"/>
      <c r="E37" s="207"/>
      <c r="F37" s="208"/>
      <c r="G37" s="208"/>
      <c r="H37" s="209"/>
      <c r="I37" s="9"/>
    </row>
    <row r="38" spans="2:9" ht="20.25" customHeight="1" thickBot="1">
      <c r="B38" s="2"/>
      <c r="C38" s="54"/>
      <c r="D38" s="54"/>
      <c r="E38" s="210"/>
      <c r="F38" s="211"/>
      <c r="G38" s="211"/>
      <c r="H38" s="212"/>
      <c r="I38" s="9"/>
    </row>
    <row r="39" spans="2:9">
      <c r="C39" s="9"/>
      <c r="D39" s="9"/>
      <c r="E39" s="26"/>
      <c r="F39" s="9"/>
      <c r="G39" s="9"/>
      <c r="I39" s="9"/>
    </row>
    <row r="40" spans="2:9">
      <c r="C40" s="9"/>
      <c r="D40" s="9"/>
      <c r="E40" s="26"/>
      <c r="F40" s="9"/>
      <c r="G40" s="9"/>
      <c r="I40" s="9"/>
    </row>
    <row r="41" spans="2:9">
      <c r="C41" s="9"/>
      <c r="D41" s="9"/>
      <c r="E41" s="26"/>
      <c r="F41" s="9"/>
      <c r="G41" s="9"/>
      <c r="I41" s="9"/>
    </row>
    <row r="42" spans="2:9">
      <c r="C42" s="9"/>
      <c r="D42" s="9"/>
      <c r="E42" s="26"/>
      <c r="F42" s="9"/>
      <c r="G42" s="9"/>
      <c r="I42" s="9"/>
    </row>
    <row r="43" spans="2:9">
      <c r="C43" s="9"/>
      <c r="D43" s="9"/>
      <c r="E43" s="26"/>
      <c r="F43" s="9"/>
      <c r="G43" s="9"/>
      <c r="I43" s="9"/>
    </row>
  </sheetData>
  <sheetProtection algorithmName="SHA-512" hashValue="7s8a6FffcOr3mi39B05/kVQc1K6E9ttZYv6wOWw8p8Rp87t4mMldV//T29ZIgWW1JRn7zrhR6+oXpMlgFAUqIQ==" saltValue="XVLFDIg1S/qcI0Jc1PL2lQ==" spinCount="100000" sheet="1" objects="1" scenarios="1"/>
  <dataConsolidate/>
  <mergeCells count="8">
    <mergeCell ref="E35:H38"/>
    <mergeCell ref="I4:I5"/>
    <mergeCell ref="E25:H25"/>
    <mergeCell ref="E26:H26"/>
    <mergeCell ref="E32:H32"/>
    <mergeCell ref="E33:H33"/>
    <mergeCell ref="E21:H23"/>
    <mergeCell ref="E28:H30"/>
  </mergeCells>
  <dataValidations count="3">
    <dataValidation type="list" allowBlank="1" showInputMessage="1" showErrorMessage="1" sqref="E6" xr:uid="{00000000-0002-0000-0800-000000000000}">
      <formula1>unidad</formula1>
    </dataValidation>
    <dataValidation type="list" allowBlank="1" showInputMessage="1" showErrorMessage="1" sqref="F10" xr:uid="{00000000-0002-0000-0800-000001000000}">
      <formula1>$D$2:$D$47</formula1>
    </dataValidation>
    <dataValidation type="list" allowBlank="1" showInputMessage="1" showErrorMessage="1" sqref="F13:F15" xr:uid="{00000000-0002-0000-0800-000002000000}">
      <formula1>#REF!</formula1>
    </dataValidation>
  </dataValidations>
  <pageMargins left="0.28000000000000003" right="0.12" top="0.64" bottom="1" header="0" footer="0"/>
  <pageSetup paperSize="9" scale="53" orientation="portrait" horizontalDpi="4294967293" r:id="rId1"/>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Empresas!$C$2:$C$10</xm:f>
          </x14:formula1>
          <xm:sqref>E2:F2</xm:sqref>
        </x14:dataValidation>
        <x14:dataValidation type="list" allowBlank="1" showInputMessage="1" showErrorMessage="1" xr:uid="{00000000-0002-0000-0800-000004000000}">
          <x14:formula1>
            <xm:f>Verificador!$D$3:$D$8</xm:f>
          </x14:formula1>
          <xm:sqref>F17</xm:sqref>
        </x14:dataValidation>
        <x14:dataValidation type="list" allowBlank="1" showInputMessage="1" showErrorMessage="1" xr:uid="{00000000-0002-0000-0800-000005000000}">
          <x14:formula1>
            <xm:f>Operador!$D$5:$D$7</xm:f>
          </x14:formula1>
          <xm:sqref>F19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tabColor rgb="FF92D050"/>
    <pageSetUpPr fitToPage="1"/>
  </sheetPr>
  <dimension ref="A1:M43"/>
  <sheetViews>
    <sheetView showGridLines="0" topLeftCell="B29" zoomScaleNormal="100" workbookViewId="0">
      <selection activeCell="E42" sqref="E42:E43"/>
    </sheetView>
  </sheetViews>
  <sheetFormatPr defaultColWidth="11.42578125" defaultRowHeight="15.6"/>
  <cols>
    <col min="1" max="1" width="5.140625" style="10" hidden="1" customWidth="1"/>
    <col min="2" max="2" width="15.7109375" style="8" customWidth="1"/>
    <col min="3" max="3" width="6.28515625" style="10" customWidth="1"/>
    <col min="4" max="4" width="2.5703125" style="10" customWidth="1"/>
    <col min="5" max="5" width="42.7109375" style="21" customWidth="1"/>
    <col min="6" max="6" width="3.140625" style="10" customWidth="1"/>
    <col min="7" max="7" width="15.85546875" style="10" bestFit="1" customWidth="1"/>
    <col min="8" max="8" width="46.42578125" style="21" bestFit="1" customWidth="1"/>
    <col min="9" max="16384" width="11.42578125" style="10"/>
  </cols>
  <sheetData>
    <row r="1" spans="1:13" ht="16.149999999999999" thickBot="1">
      <c r="A1" s="1"/>
      <c r="B1" s="2"/>
      <c r="C1" s="42"/>
      <c r="D1" s="42"/>
      <c r="E1" s="43"/>
      <c r="F1" s="42"/>
      <c r="G1" s="42"/>
      <c r="H1" s="44"/>
      <c r="I1" s="9"/>
    </row>
    <row r="2" spans="1:13" ht="21.6" thickBot="1">
      <c r="A2" s="1"/>
      <c r="B2" s="13" t="s">
        <v>13</v>
      </c>
      <c r="C2" s="42"/>
      <c r="D2" s="42"/>
      <c r="E2" s="38" t="str">
        <f>+Operacion!G30</f>
        <v>Seleccione Empresa</v>
      </c>
      <c r="F2" s="45"/>
      <c r="G2" s="13" t="s">
        <v>250</v>
      </c>
      <c r="H2" s="46">
        <f>+Operacion!D1</f>
        <v>46278</v>
      </c>
      <c r="I2" s="9"/>
    </row>
    <row r="3" spans="1:13" ht="21.75" customHeight="1" thickBot="1">
      <c r="A3" s="1"/>
      <c r="B3" s="6"/>
      <c r="C3" s="42"/>
      <c r="D3" s="42"/>
      <c r="E3" s="47"/>
      <c r="F3" s="48"/>
      <c r="G3" s="42"/>
      <c r="H3" s="22"/>
      <c r="I3" s="9"/>
    </row>
    <row r="4" spans="1:13" ht="21" customHeight="1" thickBot="1">
      <c r="A4" s="1"/>
      <c r="B4" s="13" t="s">
        <v>245</v>
      </c>
      <c r="C4" s="42"/>
      <c r="D4" s="42"/>
      <c r="E4" s="39">
        <f>+Operacion!H31</f>
        <v>0</v>
      </c>
      <c r="F4" s="49"/>
      <c r="G4" s="13" t="s">
        <v>251</v>
      </c>
      <c r="H4" s="50">
        <f>+Operacion!L31</f>
        <v>0</v>
      </c>
      <c r="I4" s="265"/>
    </row>
    <row r="5" spans="1:13" ht="15.75" customHeight="1" thickBot="1">
      <c r="A5" s="1"/>
      <c r="B5" s="2"/>
      <c r="C5" s="42"/>
      <c r="D5" s="42"/>
      <c r="E5" s="43"/>
      <c r="F5" s="42"/>
      <c r="G5" s="42"/>
      <c r="H5" s="44"/>
      <c r="I5" s="265"/>
    </row>
    <row r="6" spans="1:13" ht="26.45" thickBot="1">
      <c r="A6" s="1"/>
      <c r="B6" s="13" t="s">
        <v>252</v>
      </c>
      <c r="C6" s="1"/>
      <c r="D6" s="42"/>
      <c r="E6" s="37" t="str">
        <f>+Operacion!B31</f>
        <v>GDU106</v>
      </c>
      <c r="F6" s="20"/>
      <c r="G6" s="13" t="s">
        <v>239</v>
      </c>
      <c r="H6" s="23" t="str">
        <f>VLOOKUP(E6,tablaequipo,6)</f>
        <v>IVECO</v>
      </c>
      <c r="I6" s="9"/>
    </row>
    <row r="7" spans="1:13" ht="15.75" customHeight="1">
      <c r="A7" s="1"/>
      <c r="B7" s="2"/>
      <c r="C7" s="42"/>
      <c r="D7" s="42"/>
      <c r="E7" s="23" t="str">
        <f>VLOOKUP(E6,tablaequipo,4)</f>
        <v xml:space="preserve">Camion </v>
      </c>
      <c r="F7" s="20"/>
      <c r="G7" s="13" t="s">
        <v>240</v>
      </c>
      <c r="H7" s="24" t="str">
        <f>VLOOKUP(E6,tablaequipo,7)</f>
        <v>EURO 220</v>
      </c>
      <c r="I7" s="9"/>
      <c r="M7" s="11"/>
    </row>
    <row r="8" spans="1:13" ht="15.75" customHeight="1" thickBot="1">
      <c r="A8" s="1"/>
      <c r="B8" s="2"/>
      <c r="C8" s="42"/>
      <c r="D8" s="42"/>
      <c r="E8" s="25">
        <f>VLOOKUP(E6,tablaequipo,5)</f>
        <v>0</v>
      </c>
      <c r="F8" s="20"/>
      <c r="G8" s="13" t="s">
        <v>241</v>
      </c>
      <c r="H8" s="25" t="str">
        <f>VLOOKUP(E6,tablaequipo,8)</f>
        <v>HOD 216</v>
      </c>
      <c r="I8" s="9"/>
      <c r="M8" s="11"/>
    </row>
    <row r="9" spans="1:13" ht="16.5" customHeight="1" thickBot="1">
      <c r="A9" s="1"/>
      <c r="B9" s="2"/>
      <c r="C9" s="42"/>
      <c r="D9" s="42"/>
      <c r="E9" s="45"/>
      <c r="F9" s="51"/>
      <c r="G9" s="42"/>
      <c r="H9" s="44"/>
      <c r="I9" s="9"/>
      <c r="M9" s="11" t="s">
        <v>253</v>
      </c>
    </row>
    <row r="10" spans="1:13" ht="24" thickBot="1">
      <c r="A10" s="1"/>
      <c r="B10" s="13" t="s">
        <v>254</v>
      </c>
      <c r="C10" s="42"/>
      <c r="D10" s="42"/>
      <c r="E10" s="38" t="str">
        <f>+Operacion!D31</f>
        <v>Seleccione Chofer</v>
      </c>
      <c r="F10" s="45"/>
      <c r="G10" s="142" t="str">
        <f>+Operacion!F36</f>
        <v>GDU000</v>
      </c>
      <c r="H10" s="190">
        <f>VLOOKUP(G10,tablatractor,6)</f>
        <v>0</v>
      </c>
      <c r="I10" s="9"/>
    </row>
    <row r="11" spans="1:13" ht="15.75" customHeight="1" thickBot="1">
      <c r="A11" s="1"/>
      <c r="B11" s="2"/>
      <c r="C11" s="42"/>
      <c r="D11" s="42"/>
      <c r="E11" s="44"/>
      <c r="F11" s="1"/>
      <c r="G11" s="191" t="str">
        <f>VLOOKUP(G10,tablatractor,3)</f>
        <v>Seleccione Equipo</v>
      </c>
      <c r="H11" s="192">
        <f>VLOOKUP(G10,tablatractor,4)</f>
        <v>0</v>
      </c>
      <c r="I11" s="9"/>
      <c r="M11" s="9"/>
    </row>
    <row r="12" spans="1:13" ht="16.5" customHeight="1" thickBot="1">
      <c r="A12" s="1"/>
      <c r="B12" s="2"/>
      <c r="C12" s="42"/>
      <c r="D12" s="42"/>
      <c r="E12" s="44"/>
      <c r="F12" s="1"/>
      <c r="G12" s="42"/>
      <c r="H12" s="44"/>
      <c r="I12" s="9"/>
      <c r="M12" s="12"/>
    </row>
    <row r="13" spans="1:13" ht="20.25" customHeight="1" thickBot="1">
      <c r="A13" s="1"/>
      <c r="B13" s="13" t="s">
        <v>255</v>
      </c>
      <c r="C13" s="42"/>
      <c r="D13" s="52">
        <v>1</v>
      </c>
      <c r="E13" s="38" t="str">
        <f>+Operacion!D32</f>
        <v>Selección Acompanante</v>
      </c>
      <c r="F13" s="45"/>
      <c r="G13" s="52">
        <v>4</v>
      </c>
      <c r="H13" s="38" t="str">
        <f>+Operacion!D35</f>
        <v>Selección Acompanante</v>
      </c>
      <c r="I13" s="9"/>
    </row>
    <row r="14" spans="1:13" ht="20.25" customHeight="1" thickBot="1">
      <c r="A14" s="1"/>
      <c r="B14" s="2"/>
      <c r="C14" s="42"/>
      <c r="D14" s="52">
        <v>2</v>
      </c>
      <c r="E14" s="38" t="str">
        <f>+Operacion!D33</f>
        <v>Selección Acompanante</v>
      </c>
      <c r="F14" s="45"/>
      <c r="G14" s="52">
        <v>5</v>
      </c>
      <c r="H14" s="38" t="str">
        <f>+Operacion!D36</f>
        <v>Selección Acompanante</v>
      </c>
      <c r="I14" s="9"/>
    </row>
    <row r="15" spans="1:13" ht="20.25" customHeight="1" thickBot="1">
      <c r="A15" s="1"/>
      <c r="B15" s="2"/>
      <c r="C15" s="42"/>
      <c r="D15" s="52">
        <v>3</v>
      </c>
      <c r="E15" s="38" t="str">
        <f>+Operacion!D34</f>
        <v>Selección Acompanante</v>
      </c>
      <c r="F15" s="45"/>
      <c r="G15" s="52">
        <v>6</v>
      </c>
      <c r="H15" s="38" t="str">
        <f>+Operacion!D37</f>
        <v>Selección Acompanante</v>
      </c>
      <c r="I15" s="9"/>
    </row>
    <row r="16" spans="1:13" ht="20.25" customHeight="1" thickBot="1">
      <c r="A16" s="1"/>
      <c r="B16" s="2"/>
      <c r="C16" s="42"/>
      <c r="D16" s="42"/>
      <c r="E16" s="44"/>
      <c r="F16" s="1"/>
      <c r="G16" s="42"/>
      <c r="H16" s="44"/>
      <c r="I16" s="9"/>
    </row>
    <row r="17" spans="1:9" ht="21.6" thickBot="1">
      <c r="A17" s="1"/>
      <c r="B17" s="13" t="s">
        <v>256</v>
      </c>
      <c r="C17" s="42"/>
      <c r="D17" s="42"/>
      <c r="E17" s="40" t="str">
        <f>+Operacion!H36</f>
        <v>Seleccione Verificador</v>
      </c>
      <c r="F17" s="45"/>
      <c r="G17" s="42"/>
      <c r="H17" s="44"/>
      <c r="I17" s="9"/>
    </row>
    <row r="18" spans="1:9" ht="20.25" customHeight="1" thickBot="1">
      <c r="A18" s="1"/>
      <c r="B18" s="2"/>
      <c r="C18" s="42"/>
      <c r="D18" s="42"/>
      <c r="E18" s="44"/>
      <c r="F18" s="1"/>
      <c r="G18" s="42"/>
      <c r="H18" s="44"/>
      <c r="I18" s="9"/>
    </row>
    <row r="19" spans="1:9" ht="21.6" thickBot="1">
      <c r="A19" s="1"/>
      <c r="B19" s="13" t="s">
        <v>257</v>
      </c>
      <c r="C19" s="42"/>
      <c r="D19" s="42"/>
      <c r="E19" s="40" t="str">
        <f>+Operacion!K36</f>
        <v>Selección Operador</v>
      </c>
      <c r="F19" s="45"/>
      <c r="G19" s="42"/>
      <c r="H19" s="44"/>
      <c r="I19" s="9"/>
    </row>
    <row r="20" spans="1:9" ht="20.25" customHeight="1" thickBot="1">
      <c r="A20" s="1"/>
      <c r="B20" s="2"/>
      <c r="C20" s="42"/>
      <c r="D20" s="42"/>
      <c r="E20" s="44"/>
      <c r="F20" s="1"/>
      <c r="G20" s="42"/>
      <c r="H20" s="44"/>
      <c r="I20" s="9"/>
    </row>
    <row r="21" spans="1:9" ht="20.25" customHeight="1">
      <c r="A21" s="1"/>
      <c r="B21" s="13" t="s">
        <v>258</v>
      </c>
      <c r="C21" s="53"/>
      <c r="D21" s="53"/>
      <c r="E21" s="213">
        <f>+Operacion!H32</f>
        <v>0</v>
      </c>
      <c r="F21" s="214"/>
      <c r="G21" s="214"/>
      <c r="H21" s="215"/>
      <c r="I21" s="9"/>
    </row>
    <row r="22" spans="1:9" ht="20.25" customHeight="1">
      <c r="A22" s="1"/>
      <c r="B22" s="2"/>
      <c r="C22" s="2"/>
      <c r="D22" s="2"/>
      <c r="E22" s="216"/>
      <c r="F22" s="217"/>
      <c r="G22" s="217"/>
      <c r="H22" s="218"/>
      <c r="I22" s="9"/>
    </row>
    <row r="23" spans="1:9" ht="20.25" customHeight="1" thickBot="1">
      <c r="A23" s="1"/>
      <c r="B23" s="2"/>
      <c r="C23" s="54"/>
      <c r="D23" s="54"/>
      <c r="E23" s="219"/>
      <c r="F23" s="220"/>
      <c r="G23" s="220"/>
      <c r="H23" s="221"/>
      <c r="I23" s="9"/>
    </row>
    <row r="24" spans="1:9" ht="20.25" customHeight="1" thickBot="1">
      <c r="A24" s="1"/>
      <c r="B24" s="2"/>
      <c r="C24" s="42"/>
      <c r="D24" s="42"/>
      <c r="E24" s="43"/>
      <c r="F24" s="42"/>
      <c r="G24" s="42"/>
      <c r="H24" s="44"/>
      <c r="I24" s="9"/>
    </row>
    <row r="25" spans="1:9" ht="20.25" customHeight="1">
      <c r="A25" s="1"/>
      <c r="B25" s="13" t="s">
        <v>259</v>
      </c>
      <c r="C25" s="53"/>
      <c r="D25" s="53"/>
      <c r="E25" s="213">
        <f>+Operacion!H33</f>
        <v>0</v>
      </c>
      <c r="F25" s="214"/>
      <c r="G25" s="214"/>
      <c r="H25" s="215"/>
      <c r="I25" s="9"/>
    </row>
    <row r="26" spans="1:9" ht="20.25" customHeight="1" thickBot="1">
      <c r="A26" s="1"/>
      <c r="B26" s="6"/>
      <c r="C26" s="55"/>
      <c r="D26" s="55"/>
      <c r="E26" s="219">
        <f>+Operacion!L33</f>
        <v>0</v>
      </c>
      <c r="F26" s="220"/>
      <c r="G26" s="220"/>
      <c r="H26" s="221"/>
      <c r="I26" s="9"/>
    </row>
    <row r="27" spans="1:9" ht="20.25" customHeight="1" thickBot="1">
      <c r="A27" s="1"/>
      <c r="B27" s="6"/>
      <c r="C27" s="42"/>
      <c r="D27" s="42"/>
      <c r="E27" s="56"/>
      <c r="F27" s="55"/>
      <c r="G27" s="42"/>
      <c r="H27" s="44"/>
      <c r="I27" s="9"/>
    </row>
    <row r="28" spans="1:9" ht="20.25" customHeight="1">
      <c r="A28" s="1"/>
      <c r="B28" s="13" t="s">
        <v>243</v>
      </c>
      <c r="C28" s="53"/>
      <c r="D28" s="53"/>
      <c r="E28" s="213">
        <f>+Operacion!H34</f>
        <v>0</v>
      </c>
      <c r="F28" s="214"/>
      <c r="G28" s="214"/>
      <c r="H28" s="215"/>
      <c r="I28" s="9"/>
    </row>
    <row r="29" spans="1:9" ht="20.25" customHeight="1">
      <c r="A29" s="1"/>
      <c r="B29" s="2"/>
      <c r="C29" s="2"/>
      <c r="D29" s="2"/>
      <c r="E29" s="216"/>
      <c r="F29" s="217"/>
      <c r="G29" s="217"/>
      <c r="H29" s="218"/>
      <c r="I29" s="9"/>
    </row>
    <row r="30" spans="1:9" ht="20.25" customHeight="1" thickBot="1">
      <c r="A30" s="1"/>
      <c r="B30" s="2"/>
      <c r="C30" s="2"/>
      <c r="D30" s="2"/>
      <c r="E30" s="219"/>
      <c r="F30" s="220"/>
      <c r="G30" s="220"/>
      <c r="H30" s="221"/>
      <c r="I30" s="9"/>
    </row>
    <row r="31" spans="1:9" ht="20.25" customHeight="1" thickBot="1">
      <c r="A31" s="1"/>
      <c r="B31" s="6"/>
      <c r="C31" s="1"/>
      <c r="D31" s="1"/>
      <c r="E31" s="56"/>
      <c r="F31" s="55"/>
      <c r="G31" s="1"/>
      <c r="H31" s="44"/>
      <c r="I31" s="9"/>
    </row>
    <row r="32" spans="1:9" ht="20.25" customHeight="1">
      <c r="A32" s="1"/>
      <c r="B32" s="13" t="s">
        <v>259</v>
      </c>
      <c r="C32" s="53"/>
      <c r="D32" s="53"/>
      <c r="E32" s="213">
        <f>+Operacion!H35</f>
        <v>0</v>
      </c>
      <c r="F32" s="214"/>
      <c r="G32" s="214"/>
      <c r="H32" s="215"/>
      <c r="I32" s="9"/>
    </row>
    <row r="33" spans="1:9" ht="20.25" customHeight="1" thickBot="1">
      <c r="A33" s="1"/>
      <c r="B33" s="6"/>
      <c r="C33" s="55"/>
      <c r="D33" s="55"/>
      <c r="E33" s="219">
        <f>+Operacion!L35</f>
        <v>0</v>
      </c>
      <c r="F33" s="220"/>
      <c r="G33" s="220"/>
      <c r="H33" s="221"/>
      <c r="I33" s="9"/>
    </row>
    <row r="34" spans="1:9" ht="20.25" customHeight="1" thickBot="1">
      <c r="A34" s="1"/>
      <c r="B34" s="6"/>
      <c r="C34" s="42"/>
      <c r="D34" s="42"/>
      <c r="E34" s="56"/>
      <c r="F34" s="55"/>
      <c r="G34" s="42"/>
      <c r="H34" s="44"/>
      <c r="I34" s="9"/>
    </row>
    <row r="35" spans="1:9" ht="20.25" customHeight="1">
      <c r="A35" s="1"/>
      <c r="B35" s="13" t="s">
        <v>260</v>
      </c>
      <c r="C35" s="53"/>
      <c r="D35" s="53"/>
      <c r="E35" s="204"/>
      <c r="F35" s="205"/>
      <c r="G35" s="205"/>
      <c r="H35" s="206"/>
      <c r="I35" s="9"/>
    </row>
    <row r="36" spans="1:9" ht="20.25" customHeight="1">
      <c r="A36" s="1"/>
      <c r="B36" s="2"/>
      <c r="C36" s="54"/>
      <c r="D36" s="54"/>
      <c r="E36" s="207"/>
      <c r="F36" s="208"/>
      <c r="G36" s="208"/>
      <c r="H36" s="209"/>
      <c r="I36" s="9"/>
    </row>
    <row r="37" spans="1:9" ht="20.25" customHeight="1">
      <c r="A37" s="1"/>
      <c r="B37" s="2"/>
      <c r="C37" s="54"/>
      <c r="D37" s="54"/>
      <c r="E37" s="207"/>
      <c r="F37" s="208"/>
      <c r="G37" s="208"/>
      <c r="H37" s="209"/>
      <c r="I37" s="9"/>
    </row>
    <row r="38" spans="1:9" ht="20.25" customHeight="1" thickBot="1">
      <c r="A38" s="1"/>
      <c r="B38" s="2"/>
      <c r="C38" s="54"/>
      <c r="D38" s="54"/>
      <c r="E38" s="210"/>
      <c r="F38" s="211"/>
      <c r="G38" s="211"/>
      <c r="H38" s="212"/>
      <c r="I38" s="9"/>
    </row>
    <row r="39" spans="1:9">
      <c r="A39" s="1"/>
      <c r="B39" s="2"/>
      <c r="C39" s="42"/>
      <c r="D39" s="42"/>
      <c r="E39" s="43"/>
      <c r="F39" s="42"/>
      <c r="G39" s="42"/>
      <c r="H39" s="44"/>
      <c r="I39" s="9"/>
    </row>
    <row r="40" spans="1:9">
      <c r="C40" s="9"/>
      <c r="D40" s="9"/>
      <c r="E40" s="26"/>
      <c r="F40" s="9"/>
      <c r="G40" s="9"/>
      <c r="I40" s="9"/>
    </row>
    <row r="41" spans="1:9">
      <c r="C41" s="9"/>
      <c r="D41" s="9"/>
      <c r="E41" s="26"/>
      <c r="F41" s="9"/>
      <c r="G41" s="9"/>
      <c r="I41" s="9"/>
    </row>
    <row r="42" spans="1:9">
      <c r="C42" s="9"/>
      <c r="D42" s="9"/>
      <c r="E42" s="26"/>
      <c r="F42" s="9"/>
      <c r="G42" s="9"/>
      <c r="I42" s="9"/>
    </row>
    <row r="43" spans="1:9">
      <c r="C43" s="9"/>
      <c r="D43" s="9"/>
      <c r="E43" s="26"/>
      <c r="F43" s="9"/>
      <c r="G43" s="9"/>
      <c r="I43" s="9"/>
    </row>
  </sheetData>
  <sheetProtection algorithmName="SHA-512" hashValue="n7yGIGusyDwNIADgCP6MDwqDEykf1n5itbebN/2B69Mv4dgFFipi35eOf0Lff1LRcoBE1PxzMXEh+U8hB145wA==" saltValue="d1l5WUdTAZhitE5EzBKKtQ==" spinCount="100000" sheet="1" objects="1" scenarios="1"/>
  <dataConsolidate/>
  <mergeCells count="8">
    <mergeCell ref="E35:H38"/>
    <mergeCell ref="I4:I5"/>
    <mergeCell ref="E25:H25"/>
    <mergeCell ref="E26:H26"/>
    <mergeCell ref="E32:H32"/>
    <mergeCell ref="E33:H33"/>
    <mergeCell ref="E21:H23"/>
    <mergeCell ref="E28:H30"/>
  </mergeCells>
  <pageMargins left="0.28000000000000003" right="0.12" top="0.64" bottom="1" header="0" footer="0"/>
  <pageSetup paperSize="9" scale="53" orientation="portrait" horizontalDpi="4294967293"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6">
    <tabColor rgb="FF92D050"/>
    <pageSetUpPr fitToPage="1"/>
  </sheetPr>
  <dimension ref="A1:M43"/>
  <sheetViews>
    <sheetView showGridLines="0" topLeftCell="B22" zoomScaleNormal="100" workbookViewId="0">
      <selection activeCell="B40" sqref="B40"/>
    </sheetView>
  </sheetViews>
  <sheetFormatPr defaultColWidth="11.42578125" defaultRowHeight="15.6"/>
  <cols>
    <col min="1" max="1" width="5.140625" style="10" hidden="1" customWidth="1"/>
    <col min="2" max="2" width="15.7109375" style="8" customWidth="1"/>
    <col min="3" max="3" width="6.28515625" style="10" customWidth="1"/>
    <col min="4" max="4" width="2.5703125" style="10" customWidth="1"/>
    <col min="5" max="5" width="42.7109375" style="21" customWidth="1"/>
    <col min="6" max="6" width="3.140625" style="10" customWidth="1"/>
    <col min="7" max="7" width="15.85546875" style="10" bestFit="1" customWidth="1"/>
    <col min="8" max="8" width="46.42578125" style="21" bestFit="1" customWidth="1"/>
    <col min="9" max="16384" width="11.42578125" style="10"/>
  </cols>
  <sheetData>
    <row r="1" spans="1:13" ht="16.149999999999999" thickBot="1">
      <c r="A1" s="1"/>
      <c r="B1" s="2"/>
      <c r="C1" s="42"/>
      <c r="D1" s="42"/>
      <c r="E1" s="43"/>
      <c r="F1" s="42"/>
      <c r="G1" s="42"/>
      <c r="H1" s="44"/>
      <c r="I1" s="9"/>
    </row>
    <row r="2" spans="1:13" ht="21.6" thickBot="1">
      <c r="A2" s="1"/>
      <c r="B2" s="13" t="s">
        <v>13</v>
      </c>
      <c r="C2" s="42"/>
      <c r="D2" s="42"/>
      <c r="E2" s="38" t="str">
        <f>+Operacion!G39</f>
        <v>Seleccione Empresa</v>
      </c>
      <c r="F2" s="45"/>
      <c r="G2" s="13" t="s">
        <v>250</v>
      </c>
      <c r="H2" s="46">
        <f>+Operacion!D1</f>
        <v>46278</v>
      </c>
      <c r="I2" s="9"/>
    </row>
    <row r="3" spans="1:13" ht="21.75" customHeight="1" thickBot="1">
      <c r="A3" s="1"/>
      <c r="B3" s="6"/>
      <c r="C3" s="42"/>
      <c r="D3" s="42"/>
      <c r="E3" s="47"/>
      <c r="F3" s="48"/>
      <c r="G3" s="42"/>
      <c r="H3" s="22"/>
      <c r="I3" s="9"/>
    </row>
    <row r="4" spans="1:13" ht="21" customHeight="1" thickBot="1">
      <c r="A4" s="1"/>
      <c r="B4" s="13" t="s">
        <v>245</v>
      </c>
      <c r="C4" s="42"/>
      <c r="D4" s="42"/>
      <c r="E4" s="39">
        <f>+Operacion!H40</f>
        <v>0</v>
      </c>
      <c r="F4" s="49"/>
      <c r="G4" s="13" t="s">
        <v>251</v>
      </c>
      <c r="H4" s="50">
        <f>+Operacion!L40</f>
        <v>0</v>
      </c>
      <c r="I4" s="265"/>
    </row>
    <row r="5" spans="1:13" ht="15.75" customHeight="1" thickBot="1">
      <c r="A5" s="1"/>
      <c r="B5" s="2"/>
      <c r="C5" s="42"/>
      <c r="D5" s="42"/>
      <c r="E5" s="43"/>
      <c r="F5" s="42"/>
      <c r="G5" s="42"/>
      <c r="H5" s="44"/>
      <c r="I5" s="265"/>
    </row>
    <row r="6" spans="1:13" ht="26.45" thickBot="1">
      <c r="A6" s="1"/>
      <c r="B6" s="13" t="s">
        <v>252</v>
      </c>
      <c r="C6" s="1"/>
      <c r="D6" s="42"/>
      <c r="E6" s="37" t="str">
        <f>+Operacion!B40</f>
        <v>GDU110</v>
      </c>
      <c r="F6" s="20"/>
      <c r="G6" s="13" t="s">
        <v>239</v>
      </c>
      <c r="H6" s="23" t="str">
        <f>VLOOKUP(E6,tablaequipo,6)</f>
        <v>IVECO</v>
      </c>
      <c r="I6" s="9"/>
    </row>
    <row r="7" spans="1:13" ht="15.75" customHeight="1">
      <c r="A7" s="1"/>
      <c r="B7" s="2"/>
      <c r="C7" s="42"/>
      <c r="D7" s="42"/>
      <c r="E7" s="23" t="str">
        <f>VLOOKUP(E6,tablaequipo,4)</f>
        <v xml:space="preserve">Camion </v>
      </c>
      <c r="F7" s="20"/>
      <c r="G7" s="13" t="s">
        <v>240</v>
      </c>
      <c r="H7" s="24" t="str">
        <f>VLOOKUP(E6,tablaequipo,7)</f>
        <v>170 E 22</v>
      </c>
      <c r="I7" s="9"/>
      <c r="M7" s="11"/>
    </row>
    <row r="8" spans="1:13" ht="15.75" customHeight="1" thickBot="1">
      <c r="A8" s="1"/>
      <c r="B8" s="2"/>
      <c r="C8" s="42"/>
      <c r="D8" s="42"/>
      <c r="E8" s="25">
        <f>VLOOKUP(E6,tablaequipo,5)</f>
        <v>0</v>
      </c>
      <c r="F8" s="20"/>
      <c r="G8" s="13" t="s">
        <v>241</v>
      </c>
      <c r="H8" s="25" t="str">
        <f>VLOOKUP(E6,tablaequipo,8)</f>
        <v>AC 223 HV</v>
      </c>
      <c r="I8" s="9"/>
      <c r="M8" s="11"/>
    </row>
    <row r="9" spans="1:13" ht="16.5" customHeight="1" thickBot="1">
      <c r="A9" s="1"/>
      <c r="B9" s="2"/>
      <c r="C9" s="42"/>
      <c r="D9" s="42"/>
      <c r="E9" s="45"/>
      <c r="F9" s="51"/>
      <c r="G9" s="42"/>
      <c r="H9" s="44"/>
      <c r="I9" s="9"/>
      <c r="M9" s="11" t="s">
        <v>253</v>
      </c>
    </row>
    <row r="10" spans="1:13" ht="24" thickBot="1">
      <c r="A10" s="1"/>
      <c r="B10" s="13" t="s">
        <v>254</v>
      </c>
      <c r="C10" s="42"/>
      <c r="D10" s="42"/>
      <c r="E10" s="38" t="str">
        <f>+Operacion!D40</f>
        <v>Seleccione Chofer</v>
      </c>
      <c r="F10" s="45"/>
      <c r="G10" s="203"/>
      <c r="H10" s="201"/>
      <c r="I10" s="9"/>
    </row>
    <row r="11" spans="1:13" ht="15.75" customHeight="1">
      <c r="A11" s="1"/>
      <c r="B11" s="2"/>
      <c r="C11" s="42"/>
      <c r="D11" s="42"/>
      <c r="E11" s="44"/>
      <c r="F11" s="1"/>
      <c r="G11" s="202"/>
      <c r="H11" s="201"/>
      <c r="I11" s="9"/>
      <c r="M11" s="9"/>
    </row>
    <row r="12" spans="1:13" ht="16.5" customHeight="1" thickBot="1">
      <c r="A12" s="1"/>
      <c r="B12" s="2"/>
      <c r="C12" s="42"/>
      <c r="D12" s="42"/>
      <c r="E12" s="44"/>
      <c r="F12" s="1"/>
      <c r="G12" s="42"/>
      <c r="H12" s="44"/>
      <c r="I12" s="9"/>
      <c r="M12" s="12"/>
    </row>
    <row r="13" spans="1:13" ht="20.25" customHeight="1" thickBot="1">
      <c r="A13" s="1"/>
      <c r="B13" s="13" t="s">
        <v>255</v>
      </c>
      <c r="C13" s="42"/>
      <c r="D13" s="52">
        <v>1</v>
      </c>
      <c r="E13" s="38" t="str">
        <f>+Operacion!D41</f>
        <v>Selección Acompanante</v>
      </c>
      <c r="F13" s="45"/>
      <c r="G13" s="52">
        <v>4</v>
      </c>
      <c r="H13" s="38" t="str">
        <f>+Operacion!D44</f>
        <v>Selección Acompanante</v>
      </c>
      <c r="I13" s="9"/>
    </row>
    <row r="14" spans="1:13" ht="20.25" customHeight="1" thickBot="1">
      <c r="A14" s="1"/>
      <c r="B14" s="2"/>
      <c r="C14" s="42"/>
      <c r="D14" s="52">
        <v>2</v>
      </c>
      <c r="E14" s="38" t="str">
        <f>+Operacion!D42</f>
        <v>Selección Acompanante</v>
      </c>
      <c r="F14" s="45"/>
      <c r="G14" s="52">
        <v>5</v>
      </c>
      <c r="H14" s="38" t="str">
        <f>+Operacion!D45</f>
        <v>Selección Acompanante</v>
      </c>
      <c r="I14" s="9"/>
    </row>
    <row r="15" spans="1:13" ht="20.25" customHeight="1" thickBot="1">
      <c r="A15" s="1"/>
      <c r="B15" s="2"/>
      <c r="C15" s="42"/>
      <c r="D15" s="52">
        <v>3</v>
      </c>
      <c r="E15" s="38" t="str">
        <f>+Operacion!D43</f>
        <v>Selección Acompanante</v>
      </c>
      <c r="F15" s="45"/>
      <c r="G15" s="52">
        <v>6</v>
      </c>
      <c r="H15" s="38" t="str">
        <f>+Operacion!D46</f>
        <v>Selección Acompanante</v>
      </c>
      <c r="I15" s="9"/>
    </row>
    <row r="16" spans="1:13" ht="20.25" customHeight="1" thickBot="1">
      <c r="A16" s="1"/>
      <c r="B16" s="2"/>
      <c r="C16" s="42"/>
      <c r="D16" s="42"/>
      <c r="E16" s="44"/>
      <c r="F16" s="1"/>
      <c r="G16" s="42"/>
      <c r="H16" s="44"/>
      <c r="I16" s="9"/>
    </row>
    <row r="17" spans="1:9" ht="21.6" thickBot="1">
      <c r="A17" s="1"/>
      <c r="B17" s="13" t="s">
        <v>256</v>
      </c>
      <c r="C17" s="42"/>
      <c r="D17" s="42"/>
      <c r="E17" s="40" t="e">
        <f>+Operacion!#REF!</f>
        <v>#REF!</v>
      </c>
      <c r="F17" s="45"/>
      <c r="G17" s="42"/>
      <c r="H17" s="44"/>
      <c r="I17" s="9"/>
    </row>
    <row r="18" spans="1:9" ht="20.25" customHeight="1" thickBot="1">
      <c r="A18" s="1"/>
      <c r="B18" s="2"/>
      <c r="C18" s="42"/>
      <c r="D18" s="42"/>
      <c r="E18" s="44"/>
      <c r="F18" s="1"/>
      <c r="G18" s="42"/>
      <c r="H18" s="44"/>
      <c r="I18" s="9"/>
    </row>
    <row r="19" spans="1:9" ht="21.6" thickBot="1">
      <c r="A19" s="1"/>
      <c r="B19" s="13" t="s">
        <v>257</v>
      </c>
      <c r="C19" s="42"/>
      <c r="D19" s="42"/>
      <c r="E19" s="40" t="e">
        <f>+Operacion!#REF!</f>
        <v>#REF!</v>
      </c>
      <c r="F19" s="45"/>
      <c r="G19" s="42"/>
      <c r="H19" s="44"/>
      <c r="I19" s="9"/>
    </row>
    <row r="20" spans="1:9" ht="20.25" customHeight="1" thickBot="1">
      <c r="A20" s="1"/>
      <c r="B20" s="2"/>
      <c r="C20" s="42"/>
      <c r="D20" s="42"/>
      <c r="E20" s="44"/>
      <c r="F20" s="1"/>
      <c r="G20" s="42"/>
      <c r="H20" s="44"/>
      <c r="I20" s="9"/>
    </row>
    <row r="21" spans="1:9" ht="20.25" customHeight="1">
      <c r="A21" s="1"/>
      <c r="B21" s="13" t="s">
        <v>258</v>
      </c>
      <c r="C21" s="53"/>
      <c r="D21" s="53"/>
      <c r="E21" s="213">
        <f>+Operacion!H41</f>
        <v>0</v>
      </c>
      <c r="F21" s="214"/>
      <c r="G21" s="214"/>
      <c r="H21" s="215"/>
      <c r="I21" s="9"/>
    </row>
    <row r="22" spans="1:9" ht="20.25" customHeight="1">
      <c r="A22" s="1"/>
      <c r="B22" s="2"/>
      <c r="C22" s="2"/>
      <c r="D22" s="2"/>
      <c r="E22" s="216"/>
      <c r="F22" s="217"/>
      <c r="G22" s="217"/>
      <c r="H22" s="218"/>
      <c r="I22" s="9"/>
    </row>
    <row r="23" spans="1:9" ht="20.25" customHeight="1" thickBot="1">
      <c r="A23" s="1"/>
      <c r="B23" s="2"/>
      <c r="C23" s="54"/>
      <c r="D23" s="54"/>
      <c r="E23" s="219"/>
      <c r="F23" s="220"/>
      <c r="G23" s="220"/>
      <c r="H23" s="221"/>
      <c r="I23" s="9"/>
    </row>
    <row r="24" spans="1:9" ht="20.25" customHeight="1" thickBot="1">
      <c r="A24" s="1"/>
      <c r="B24" s="2"/>
      <c r="C24" s="42"/>
      <c r="D24" s="42"/>
      <c r="E24" s="43"/>
      <c r="F24" s="42"/>
      <c r="G24" s="42"/>
      <c r="H24" s="44"/>
      <c r="I24" s="9"/>
    </row>
    <row r="25" spans="1:9" ht="20.25" customHeight="1">
      <c r="A25" s="1"/>
      <c r="B25" s="13" t="s">
        <v>259</v>
      </c>
      <c r="C25" s="53"/>
      <c r="D25" s="53"/>
      <c r="E25" s="213">
        <f>+Operacion!H42</f>
        <v>0</v>
      </c>
      <c r="F25" s="214"/>
      <c r="G25" s="214"/>
      <c r="H25" s="215"/>
      <c r="I25" s="9"/>
    </row>
    <row r="26" spans="1:9" ht="20.25" customHeight="1" thickBot="1">
      <c r="A26" s="1"/>
      <c r="B26" s="6"/>
      <c r="C26" s="55"/>
      <c r="D26" s="55"/>
      <c r="E26" s="219">
        <f>+Operacion!L42</f>
        <v>0</v>
      </c>
      <c r="F26" s="220"/>
      <c r="G26" s="220"/>
      <c r="H26" s="221"/>
      <c r="I26" s="9"/>
    </row>
    <row r="27" spans="1:9" ht="20.25" customHeight="1" thickBot="1">
      <c r="A27" s="1"/>
      <c r="B27" s="6"/>
      <c r="C27" s="42"/>
      <c r="D27" s="42"/>
      <c r="E27" s="56"/>
      <c r="F27" s="55"/>
      <c r="G27" s="42"/>
      <c r="H27" s="44"/>
      <c r="I27" s="9"/>
    </row>
    <row r="28" spans="1:9" ht="20.25" customHeight="1">
      <c r="A28" s="1"/>
      <c r="B28" s="13" t="s">
        <v>243</v>
      </c>
      <c r="C28" s="53"/>
      <c r="D28" s="53"/>
      <c r="E28" s="213">
        <f>+Operacion!H43</f>
        <v>0</v>
      </c>
      <c r="F28" s="214"/>
      <c r="G28" s="214"/>
      <c r="H28" s="215"/>
      <c r="I28" s="9"/>
    </row>
    <row r="29" spans="1:9" ht="20.25" customHeight="1">
      <c r="A29" s="1"/>
      <c r="B29" s="2"/>
      <c r="C29" s="2"/>
      <c r="D29" s="2"/>
      <c r="E29" s="216"/>
      <c r="F29" s="217"/>
      <c r="G29" s="217"/>
      <c r="H29" s="218"/>
      <c r="I29" s="9"/>
    </row>
    <row r="30" spans="1:9" ht="20.25" customHeight="1" thickBot="1">
      <c r="A30" s="1"/>
      <c r="B30" s="2"/>
      <c r="C30" s="2"/>
      <c r="D30" s="2"/>
      <c r="E30" s="219"/>
      <c r="F30" s="220"/>
      <c r="G30" s="220"/>
      <c r="H30" s="221"/>
      <c r="I30" s="9"/>
    </row>
    <row r="31" spans="1:9" ht="20.25" customHeight="1" thickBot="1">
      <c r="A31" s="1"/>
      <c r="B31" s="6"/>
      <c r="C31" s="1"/>
      <c r="D31" s="1"/>
      <c r="E31" s="56"/>
      <c r="F31" s="55"/>
      <c r="G31" s="1"/>
      <c r="H31" s="44"/>
      <c r="I31" s="9"/>
    </row>
    <row r="32" spans="1:9" ht="20.25" customHeight="1">
      <c r="A32" s="1"/>
      <c r="B32" s="13" t="s">
        <v>259</v>
      </c>
      <c r="C32" s="53"/>
      <c r="D32" s="53"/>
      <c r="E32" s="213">
        <f>+Operacion!H44</f>
        <v>0</v>
      </c>
      <c r="F32" s="214"/>
      <c r="G32" s="214"/>
      <c r="H32" s="215"/>
      <c r="I32" s="9"/>
    </row>
    <row r="33" spans="1:9" ht="20.25" customHeight="1" thickBot="1">
      <c r="A33" s="1"/>
      <c r="B33" s="6"/>
      <c r="C33" s="55"/>
      <c r="D33" s="55"/>
      <c r="E33" s="219">
        <f>+Operacion!L44</f>
        <v>0</v>
      </c>
      <c r="F33" s="220"/>
      <c r="G33" s="220"/>
      <c r="H33" s="221"/>
      <c r="I33" s="9"/>
    </row>
    <row r="34" spans="1:9" ht="20.25" customHeight="1" thickBot="1">
      <c r="A34" s="1"/>
      <c r="B34" s="6"/>
      <c r="C34" s="42"/>
      <c r="D34" s="42"/>
      <c r="E34" s="56"/>
      <c r="F34" s="55"/>
      <c r="G34" s="42"/>
      <c r="H34" s="44"/>
      <c r="I34" s="9"/>
    </row>
    <row r="35" spans="1:9" ht="20.25" customHeight="1">
      <c r="A35" s="1"/>
      <c r="B35" s="13" t="s">
        <v>260</v>
      </c>
      <c r="C35" s="53"/>
      <c r="D35" s="53"/>
      <c r="E35" s="204"/>
      <c r="F35" s="205"/>
      <c r="G35" s="205"/>
      <c r="H35" s="206"/>
      <c r="I35" s="9"/>
    </row>
    <row r="36" spans="1:9" ht="20.25" customHeight="1">
      <c r="A36" s="1"/>
      <c r="B36" s="2"/>
      <c r="C36" s="54"/>
      <c r="D36" s="54"/>
      <c r="E36" s="207"/>
      <c r="F36" s="208"/>
      <c r="G36" s="208"/>
      <c r="H36" s="209"/>
      <c r="I36" s="9"/>
    </row>
    <row r="37" spans="1:9" ht="20.25" customHeight="1">
      <c r="A37" s="1"/>
      <c r="B37" s="2"/>
      <c r="C37" s="54"/>
      <c r="D37" s="54"/>
      <c r="E37" s="207"/>
      <c r="F37" s="208"/>
      <c r="G37" s="208"/>
      <c r="H37" s="209"/>
      <c r="I37" s="9"/>
    </row>
    <row r="38" spans="1:9" ht="20.25" customHeight="1" thickBot="1">
      <c r="A38" s="1"/>
      <c r="B38" s="2"/>
      <c r="C38" s="54"/>
      <c r="D38" s="54"/>
      <c r="E38" s="210"/>
      <c r="F38" s="211"/>
      <c r="G38" s="211"/>
      <c r="H38" s="212"/>
      <c r="I38" s="9"/>
    </row>
    <row r="39" spans="1:9">
      <c r="A39" s="1"/>
      <c r="B39" s="2"/>
      <c r="C39" s="42"/>
      <c r="D39" s="42"/>
      <c r="E39" s="43"/>
      <c r="F39" s="42"/>
      <c r="G39" s="42"/>
      <c r="H39" s="44"/>
      <c r="I39" s="9"/>
    </row>
    <row r="40" spans="1:9">
      <c r="C40" s="9"/>
      <c r="D40" s="9"/>
      <c r="E40" s="26"/>
      <c r="F40" s="9"/>
      <c r="G40" s="9"/>
      <c r="I40" s="9"/>
    </row>
    <row r="41" spans="1:9">
      <c r="C41" s="9"/>
      <c r="D41" s="9"/>
      <c r="E41" s="26"/>
      <c r="F41" s="9"/>
      <c r="G41" s="9"/>
      <c r="I41" s="9"/>
    </row>
    <row r="42" spans="1:9">
      <c r="C42" s="9"/>
      <c r="D42" s="9"/>
      <c r="E42" s="26"/>
      <c r="F42" s="9"/>
      <c r="G42" s="9"/>
      <c r="I42" s="9"/>
    </row>
    <row r="43" spans="1:9">
      <c r="C43" s="9"/>
      <c r="D43" s="9"/>
      <c r="E43" s="26"/>
      <c r="F43" s="9"/>
      <c r="G43" s="9"/>
      <c r="I43" s="9"/>
    </row>
  </sheetData>
  <sheetProtection algorithmName="SHA-512" hashValue="zlNNPD3L+srUyhk7WqbKDxMBd06DNAP3hrsidv4M5gRd2UH0K94GPYVIn7/5rfUFyZZszeZ/ftkemb70pEJoyA==" saltValue="lQVIMtA7/eDE2QxI3JNj0A==" spinCount="100000" sheet="1" objects="1" scenarios="1"/>
  <dataConsolidate/>
  <mergeCells count="8">
    <mergeCell ref="E35:H38"/>
    <mergeCell ref="I4:I5"/>
    <mergeCell ref="E25:H25"/>
    <mergeCell ref="E26:H26"/>
    <mergeCell ref="E32:H32"/>
    <mergeCell ref="E33:H33"/>
    <mergeCell ref="E21:H23"/>
    <mergeCell ref="E28:H30"/>
  </mergeCells>
  <pageMargins left="0.28000000000000003" right="0.12" top="0.64" bottom="1" header="0" footer="0"/>
  <pageSetup paperSize="9" scale="93" orientation="portrait" horizontalDpi="4294967293"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1">
    <tabColor rgb="FF92D050"/>
    <pageSetUpPr fitToPage="1"/>
  </sheetPr>
  <dimension ref="A1:M43"/>
  <sheetViews>
    <sheetView showGridLines="0" topLeftCell="B23" zoomScaleNormal="100" workbookViewId="0">
      <selection activeCell="H41" sqref="H41"/>
    </sheetView>
  </sheetViews>
  <sheetFormatPr defaultColWidth="11.42578125" defaultRowHeight="15.6"/>
  <cols>
    <col min="1" max="1" width="5.140625" style="10" hidden="1" customWidth="1"/>
    <col min="2" max="2" width="15.7109375" style="8" customWidth="1"/>
    <col min="3" max="3" width="6.28515625" style="10" customWidth="1"/>
    <col min="4" max="4" width="2.5703125" style="10" customWidth="1"/>
    <col min="5" max="5" width="42.7109375" style="21" customWidth="1"/>
    <col min="6" max="6" width="3.140625" style="10" customWidth="1"/>
    <col min="7" max="7" width="17.42578125" style="10" bestFit="1" customWidth="1"/>
    <col min="8" max="8" width="46.42578125" style="21" bestFit="1" customWidth="1"/>
    <col min="9" max="16384" width="11.42578125" style="10"/>
  </cols>
  <sheetData>
    <row r="1" spans="1:13" ht="16.149999999999999" thickBot="1">
      <c r="A1" s="1"/>
      <c r="B1" s="2"/>
      <c r="C1" s="42"/>
      <c r="D1" s="42"/>
      <c r="E1" s="43"/>
      <c r="F1" s="42"/>
      <c r="G1" s="42"/>
      <c r="H1" s="44"/>
      <c r="I1" s="9"/>
    </row>
    <row r="2" spans="1:13" ht="21.6" thickBot="1">
      <c r="A2" s="1"/>
      <c r="B2" s="13" t="s">
        <v>13</v>
      </c>
      <c r="C2" s="42"/>
      <c r="D2" s="42"/>
      <c r="E2" s="38" t="str">
        <f>+Operacion!G48</f>
        <v>Seleccione Empresa</v>
      </c>
      <c r="F2" s="45"/>
      <c r="G2" s="13" t="s">
        <v>250</v>
      </c>
      <c r="H2" s="46">
        <f>+Operacion!D1</f>
        <v>46278</v>
      </c>
      <c r="I2" s="9"/>
    </row>
    <row r="3" spans="1:13" ht="21.75" customHeight="1" thickBot="1">
      <c r="A3" s="1"/>
      <c r="B3" s="6"/>
      <c r="C3" s="42"/>
      <c r="D3" s="42"/>
      <c r="E3" s="47"/>
      <c r="F3" s="48"/>
      <c r="G3" s="42"/>
      <c r="H3" s="22"/>
      <c r="I3" s="9"/>
    </row>
    <row r="4" spans="1:13" ht="21" customHeight="1" thickBot="1">
      <c r="A4" s="1"/>
      <c r="B4" s="13" t="s">
        <v>245</v>
      </c>
      <c r="C4" s="42"/>
      <c r="D4" s="42"/>
      <c r="E4" s="39">
        <f>+Operacion!H49</f>
        <v>0</v>
      </c>
      <c r="F4" s="49"/>
      <c r="G4" s="13" t="s">
        <v>251</v>
      </c>
      <c r="H4" s="50">
        <f>+Operacion!L49</f>
        <v>0</v>
      </c>
      <c r="I4" s="265"/>
    </row>
    <row r="5" spans="1:13" ht="15.75" customHeight="1" thickBot="1">
      <c r="A5" s="1"/>
      <c r="B5" s="2"/>
      <c r="C5" s="42"/>
      <c r="D5" s="42"/>
      <c r="E5" s="43"/>
      <c r="F5" s="42"/>
      <c r="G5" s="42"/>
      <c r="H5" s="44"/>
      <c r="I5" s="265"/>
    </row>
    <row r="6" spans="1:13" ht="26.45" thickBot="1">
      <c r="A6" s="1"/>
      <c r="B6" s="13" t="s">
        <v>252</v>
      </c>
      <c r="C6" s="1"/>
      <c r="D6" s="42"/>
      <c r="E6" s="37">
        <f>+Operacion!B49</f>
        <v>111</v>
      </c>
      <c r="F6" s="20"/>
      <c r="G6" s="13" t="s">
        <v>239</v>
      </c>
      <c r="H6" s="23" t="str">
        <f>VLOOKUP(E6,tablaequipo,6)</f>
        <v>IVECO</v>
      </c>
      <c r="I6" s="9"/>
    </row>
    <row r="7" spans="1:13" ht="15.75" customHeight="1">
      <c r="A7" s="1"/>
      <c r="B7" s="2"/>
      <c r="C7" s="42"/>
      <c r="D7" s="42"/>
      <c r="E7" s="23" t="str">
        <f>VLOOKUP(E6,tablaequipo,4)</f>
        <v xml:space="preserve">Camion </v>
      </c>
      <c r="F7" s="20"/>
      <c r="G7" s="13" t="s">
        <v>240</v>
      </c>
      <c r="H7" s="24" t="str">
        <f>VLOOKUP(E6,tablaequipo,7)</f>
        <v>DS - 240</v>
      </c>
      <c r="I7" s="9"/>
      <c r="M7" s="11"/>
    </row>
    <row r="8" spans="1:13" ht="15.75" customHeight="1" thickBot="1">
      <c r="A8" s="1"/>
      <c r="B8" s="2"/>
      <c r="C8" s="42"/>
      <c r="D8" s="42"/>
      <c r="E8" s="25">
        <f>VLOOKUP(E6,tablaequipo,5)</f>
        <v>0</v>
      </c>
      <c r="F8" s="20"/>
      <c r="G8" s="13" t="s">
        <v>241</v>
      </c>
      <c r="H8" s="25" t="str">
        <f>VLOOKUP(E6,tablaequipo,8)</f>
        <v>AF009EJ</v>
      </c>
      <c r="I8" s="9"/>
      <c r="M8" s="11"/>
    </row>
    <row r="9" spans="1:13" ht="16.5" customHeight="1" thickBot="1">
      <c r="A9" s="1"/>
      <c r="B9" s="2"/>
      <c r="C9" s="42"/>
      <c r="D9" s="42"/>
      <c r="E9" s="45"/>
      <c r="F9" s="51"/>
      <c r="G9" s="42"/>
      <c r="H9" s="44"/>
      <c r="I9" s="9"/>
      <c r="M9" s="11" t="s">
        <v>253</v>
      </c>
    </row>
    <row r="10" spans="1:13" ht="24" thickBot="1">
      <c r="A10" s="1"/>
      <c r="B10" s="13" t="s">
        <v>254</v>
      </c>
      <c r="C10" s="42"/>
      <c r="D10" s="42"/>
      <c r="E10" s="38" t="str">
        <f>+Operacion!D49</f>
        <v>Seleccione Chofer</v>
      </c>
      <c r="F10" s="45"/>
      <c r="G10" s="142" t="str">
        <f>+Operacion!F54</f>
        <v>GDU000</v>
      </c>
      <c r="H10" s="190">
        <f>VLOOKUP(G10,tablatractor,6)</f>
        <v>0</v>
      </c>
      <c r="I10" s="9"/>
    </row>
    <row r="11" spans="1:13" ht="15.75" customHeight="1" thickBot="1">
      <c r="A11" s="1"/>
      <c r="B11" s="2"/>
      <c r="C11" s="42"/>
      <c r="D11" s="42"/>
      <c r="E11" s="44"/>
      <c r="F11" s="1"/>
      <c r="G11" s="191" t="str">
        <f>VLOOKUP(G10,tablatractor,3)</f>
        <v>Seleccione Equipo</v>
      </c>
      <c r="H11" s="192">
        <f>VLOOKUP(G10,tablatractor,4)</f>
        <v>0</v>
      </c>
      <c r="I11" s="9"/>
      <c r="M11" s="9"/>
    </row>
    <row r="12" spans="1:13" ht="16.5" customHeight="1" thickBot="1">
      <c r="A12" s="1"/>
      <c r="B12" s="2"/>
      <c r="C12" s="42"/>
      <c r="D12" s="42"/>
      <c r="E12" s="44"/>
      <c r="F12" s="1"/>
      <c r="G12" s="42"/>
      <c r="H12" s="44"/>
      <c r="I12" s="9"/>
      <c r="M12" s="12"/>
    </row>
    <row r="13" spans="1:13" ht="20.25" customHeight="1" thickBot="1">
      <c r="A13" s="1"/>
      <c r="B13" s="13" t="s">
        <v>255</v>
      </c>
      <c r="C13" s="42"/>
      <c r="D13" s="52">
        <v>1</v>
      </c>
      <c r="E13" s="38" t="str">
        <f>+Operacion!D50</f>
        <v>Selección Acompanante</v>
      </c>
      <c r="F13" s="45"/>
      <c r="G13" s="52">
        <v>4</v>
      </c>
      <c r="H13" s="38" t="str">
        <f>+Operacion!D54</f>
        <v>Selección Acompanante</v>
      </c>
      <c r="I13" s="9"/>
    </row>
    <row r="14" spans="1:13" ht="20.25" customHeight="1" thickBot="1">
      <c r="A14" s="1"/>
      <c r="B14" s="2"/>
      <c r="C14" s="42"/>
      <c r="D14" s="52">
        <v>2</v>
      </c>
      <c r="E14" s="38" t="str">
        <f>+Operacion!D51</f>
        <v>Selección Acompanante</v>
      </c>
      <c r="F14" s="45"/>
      <c r="G14" s="52">
        <v>5</v>
      </c>
      <c r="H14" s="38" t="str">
        <f>+Operacion!D53</f>
        <v>Selección Acompanante</v>
      </c>
      <c r="I14" s="9"/>
    </row>
    <row r="15" spans="1:13" ht="20.25" customHeight="1" thickBot="1">
      <c r="A15" s="1"/>
      <c r="B15" s="2"/>
      <c r="C15" s="42"/>
      <c r="D15" s="52">
        <v>3</v>
      </c>
      <c r="E15" s="38" t="str">
        <f>+Operacion!D52</f>
        <v>Selección Acompanante</v>
      </c>
      <c r="F15" s="45"/>
      <c r="G15" s="52">
        <v>6</v>
      </c>
      <c r="H15" s="38" t="str">
        <f>+Operacion!D55</f>
        <v>Selección Acompanante</v>
      </c>
      <c r="I15" s="9"/>
    </row>
    <row r="16" spans="1:13" ht="20.25" customHeight="1" thickBot="1">
      <c r="A16" s="1"/>
      <c r="B16" s="2"/>
      <c r="C16" s="42"/>
      <c r="D16" s="42"/>
      <c r="E16" s="44"/>
      <c r="F16" s="1"/>
      <c r="G16" s="42"/>
      <c r="H16" s="44"/>
      <c r="I16" s="9"/>
    </row>
    <row r="17" spans="1:9" ht="21.6" thickBot="1">
      <c r="A17" s="1"/>
      <c r="B17" s="13" t="s">
        <v>256</v>
      </c>
      <c r="C17" s="42"/>
      <c r="D17" s="42"/>
      <c r="E17" s="40" t="str">
        <f>+Operacion!H54</f>
        <v>Seleccione Verificador</v>
      </c>
      <c r="F17" s="45"/>
      <c r="G17" s="42"/>
      <c r="H17" s="44"/>
      <c r="I17" s="9"/>
    </row>
    <row r="18" spans="1:9" ht="20.25" customHeight="1" thickBot="1">
      <c r="A18" s="1"/>
      <c r="B18" s="2"/>
      <c r="C18" s="42"/>
      <c r="D18" s="42"/>
      <c r="E18" s="44"/>
      <c r="F18" s="1"/>
      <c r="G18" s="42"/>
      <c r="H18" s="44"/>
      <c r="I18" s="9"/>
    </row>
    <row r="19" spans="1:9" ht="21.6" thickBot="1">
      <c r="A19" s="1"/>
      <c r="B19" s="13" t="s">
        <v>257</v>
      </c>
      <c r="C19" s="42"/>
      <c r="D19" s="42"/>
      <c r="E19" s="40" t="str">
        <f>+Operacion!K54</f>
        <v>Selección Operador</v>
      </c>
      <c r="F19" s="45"/>
      <c r="G19" s="42"/>
      <c r="H19" s="44"/>
      <c r="I19" s="9"/>
    </row>
    <row r="20" spans="1:9" ht="20.25" customHeight="1" thickBot="1">
      <c r="A20" s="1"/>
      <c r="B20" s="2"/>
      <c r="C20" s="42"/>
      <c r="D20" s="42"/>
      <c r="E20" s="44"/>
      <c r="F20" s="1"/>
      <c r="G20" s="42"/>
      <c r="H20" s="44"/>
      <c r="I20" s="9"/>
    </row>
    <row r="21" spans="1:9" ht="20.25" customHeight="1">
      <c r="A21" s="1"/>
      <c r="B21" s="13" t="s">
        <v>258</v>
      </c>
      <c r="C21" s="53"/>
      <c r="D21" s="53"/>
      <c r="E21" s="213">
        <f>+Operacion!H50</f>
        <v>0</v>
      </c>
      <c r="F21" s="214"/>
      <c r="G21" s="214"/>
      <c r="H21" s="215"/>
      <c r="I21" s="9"/>
    </row>
    <row r="22" spans="1:9" ht="20.25" customHeight="1">
      <c r="A22" s="1"/>
      <c r="B22" s="2"/>
      <c r="C22" s="2"/>
      <c r="D22" s="2"/>
      <c r="E22" s="216"/>
      <c r="F22" s="217"/>
      <c r="G22" s="217"/>
      <c r="H22" s="218"/>
      <c r="I22" s="9"/>
    </row>
    <row r="23" spans="1:9" ht="20.25" customHeight="1" thickBot="1">
      <c r="A23" s="1"/>
      <c r="B23" s="2"/>
      <c r="C23" s="54"/>
      <c r="D23" s="54"/>
      <c r="E23" s="219"/>
      <c r="F23" s="220"/>
      <c r="G23" s="220"/>
      <c r="H23" s="221"/>
      <c r="I23" s="9"/>
    </row>
    <row r="24" spans="1:9" ht="20.25" customHeight="1" thickBot="1">
      <c r="A24" s="1"/>
      <c r="B24" s="2"/>
      <c r="C24" s="42"/>
      <c r="D24" s="42"/>
      <c r="E24" s="43"/>
      <c r="F24" s="42"/>
      <c r="G24" s="42"/>
      <c r="H24" s="44"/>
      <c r="I24" s="9"/>
    </row>
    <row r="25" spans="1:9" ht="20.25" customHeight="1">
      <c r="A25" s="1"/>
      <c r="B25" s="13" t="s">
        <v>259</v>
      </c>
      <c r="C25" s="53"/>
      <c r="D25" s="53"/>
      <c r="E25" s="213">
        <f>+Operacion!H51</f>
        <v>0</v>
      </c>
      <c r="F25" s="214"/>
      <c r="G25" s="214"/>
      <c r="H25" s="215"/>
      <c r="I25" s="9"/>
    </row>
    <row r="26" spans="1:9" ht="20.25" customHeight="1" thickBot="1">
      <c r="A26" s="1"/>
      <c r="B26" s="6"/>
      <c r="C26" s="55"/>
      <c r="D26" s="55"/>
      <c r="E26" s="219">
        <f>+Operacion!L51</f>
        <v>0</v>
      </c>
      <c r="F26" s="220"/>
      <c r="G26" s="220"/>
      <c r="H26" s="221"/>
      <c r="I26" s="9"/>
    </row>
    <row r="27" spans="1:9" ht="20.25" customHeight="1" thickBot="1">
      <c r="A27" s="1"/>
      <c r="B27" s="6"/>
      <c r="C27" s="42"/>
      <c r="D27" s="42"/>
      <c r="E27" s="56"/>
      <c r="F27" s="55"/>
      <c r="G27" s="42"/>
      <c r="H27" s="44"/>
      <c r="I27" s="9"/>
    </row>
    <row r="28" spans="1:9" ht="20.25" customHeight="1">
      <c r="A28" s="1"/>
      <c r="B28" s="13" t="s">
        <v>243</v>
      </c>
      <c r="C28" s="53"/>
      <c r="D28" s="53"/>
      <c r="E28" s="213">
        <f>+Operacion!H52</f>
        <v>0</v>
      </c>
      <c r="F28" s="214"/>
      <c r="G28" s="214"/>
      <c r="H28" s="215"/>
      <c r="I28" s="9"/>
    </row>
    <row r="29" spans="1:9" ht="20.25" customHeight="1">
      <c r="A29" s="1"/>
      <c r="B29" s="2"/>
      <c r="C29" s="2"/>
      <c r="D29" s="2"/>
      <c r="E29" s="216"/>
      <c r="F29" s="217"/>
      <c r="G29" s="217"/>
      <c r="H29" s="218"/>
      <c r="I29" s="9"/>
    </row>
    <row r="30" spans="1:9" ht="20.25" customHeight="1" thickBot="1">
      <c r="A30" s="1"/>
      <c r="B30" s="2"/>
      <c r="C30" s="2"/>
      <c r="D30" s="2"/>
      <c r="E30" s="219"/>
      <c r="F30" s="220"/>
      <c r="G30" s="220"/>
      <c r="H30" s="221"/>
      <c r="I30" s="9"/>
    </row>
    <row r="31" spans="1:9" ht="20.25" customHeight="1" thickBot="1">
      <c r="A31" s="1"/>
      <c r="B31" s="6"/>
      <c r="C31" s="1"/>
      <c r="D31" s="1"/>
      <c r="E31" s="56"/>
      <c r="F31" s="55"/>
      <c r="G31" s="1"/>
      <c r="H31" s="44"/>
      <c r="I31" s="9"/>
    </row>
    <row r="32" spans="1:9" ht="20.25" customHeight="1">
      <c r="A32" s="1"/>
      <c r="B32" s="13" t="s">
        <v>259</v>
      </c>
      <c r="C32" s="53"/>
      <c r="D32" s="53"/>
      <c r="E32" s="213">
        <f>+Operacion!H53</f>
        <v>0</v>
      </c>
      <c r="F32" s="214"/>
      <c r="G32" s="214"/>
      <c r="H32" s="215"/>
      <c r="I32" s="9"/>
    </row>
    <row r="33" spans="1:9" ht="20.25" customHeight="1" thickBot="1">
      <c r="A33" s="1"/>
      <c r="B33" s="6"/>
      <c r="C33" s="55"/>
      <c r="D33" s="55"/>
      <c r="E33" s="219">
        <f>+Operacion!L53</f>
        <v>0</v>
      </c>
      <c r="F33" s="220"/>
      <c r="G33" s="220"/>
      <c r="H33" s="221"/>
      <c r="I33" s="9"/>
    </row>
    <row r="34" spans="1:9" ht="20.25" customHeight="1" thickBot="1">
      <c r="A34" s="1"/>
      <c r="B34" s="6"/>
      <c r="C34" s="42"/>
      <c r="D34" s="42"/>
      <c r="E34" s="56"/>
      <c r="F34" s="55"/>
      <c r="G34" s="42"/>
      <c r="H34" s="44"/>
      <c r="I34" s="9"/>
    </row>
    <row r="35" spans="1:9" ht="20.25" customHeight="1">
      <c r="A35" s="1"/>
      <c r="B35" s="13" t="s">
        <v>260</v>
      </c>
      <c r="C35" s="53"/>
      <c r="D35" s="53"/>
      <c r="E35" s="204"/>
      <c r="F35" s="205"/>
      <c r="G35" s="205"/>
      <c r="H35" s="206"/>
      <c r="I35" s="9"/>
    </row>
    <row r="36" spans="1:9" ht="20.25" customHeight="1">
      <c r="A36" s="1"/>
      <c r="B36" s="2"/>
      <c r="C36" s="54"/>
      <c r="D36" s="54"/>
      <c r="E36" s="207"/>
      <c r="F36" s="208"/>
      <c r="G36" s="208"/>
      <c r="H36" s="209"/>
      <c r="I36" s="9"/>
    </row>
    <row r="37" spans="1:9" ht="20.25" customHeight="1">
      <c r="A37" s="1"/>
      <c r="B37" s="2"/>
      <c r="C37" s="54"/>
      <c r="D37" s="54"/>
      <c r="E37" s="207"/>
      <c r="F37" s="208"/>
      <c r="G37" s="208"/>
      <c r="H37" s="209"/>
      <c r="I37" s="9"/>
    </row>
    <row r="38" spans="1:9" ht="20.25" customHeight="1" thickBot="1">
      <c r="A38" s="1"/>
      <c r="B38" s="2"/>
      <c r="C38" s="54"/>
      <c r="D38" s="54"/>
      <c r="E38" s="210"/>
      <c r="F38" s="211"/>
      <c r="G38" s="211"/>
      <c r="H38" s="212"/>
      <c r="I38" s="9"/>
    </row>
    <row r="39" spans="1:9">
      <c r="A39" s="1"/>
      <c r="B39" s="2"/>
      <c r="C39" s="42"/>
      <c r="D39" s="42"/>
      <c r="E39" s="43"/>
      <c r="F39" s="42"/>
      <c r="G39" s="42"/>
      <c r="H39" s="44"/>
      <c r="I39" s="9"/>
    </row>
    <row r="40" spans="1:9">
      <c r="C40" s="9"/>
      <c r="D40" s="9"/>
      <c r="E40" s="26"/>
      <c r="F40" s="9"/>
      <c r="G40" s="9"/>
      <c r="I40" s="9"/>
    </row>
    <row r="41" spans="1:9">
      <c r="C41" s="9"/>
      <c r="D41" s="9"/>
      <c r="E41" s="26"/>
      <c r="F41" s="9"/>
      <c r="G41" s="9"/>
      <c r="I41" s="9"/>
    </row>
    <row r="42" spans="1:9">
      <c r="C42" s="9"/>
      <c r="D42" s="9"/>
      <c r="E42" s="26"/>
      <c r="F42" s="9"/>
      <c r="G42" s="9"/>
      <c r="I42" s="9"/>
    </row>
    <row r="43" spans="1:9">
      <c r="C43" s="9"/>
      <c r="D43" s="9"/>
      <c r="E43" s="26"/>
      <c r="F43" s="9"/>
      <c r="G43" s="9"/>
      <c r="I43" s="9"/>
    </row>
  </sheetData>
  <sheetProtection algorithmName="SHA-512" hashValue="B6vLVeE5PJsDJ9zNQvcAg0z/hyjMPYP3sQVNeTq+R8cWmD5r9kg9biOhEzfF5UT8AbTBhjqQJuQ1V5NlfH6f5w==" saltValue="Lqor8EY+clRzoB5yQTavjQ==" spinCount="100000" sheet="1" objects="1" scenarios="1"/>
  <dataConsolidate/>
  <mergeCells count="8">
    <mergeCell ref="E35:H38"/>
    <mergeCell ref="I4:I5"/>
    <mergeCell ref="E25:H25"/>
    <mergeCell ref="E26:H26"/>
    <mergeCell ref="E32:H32"/>
    <mergeCell ref="E33:H33"/>
    <mergeCell ref="E21:H23"/>
    <mergeCell ref="E28:H30"/>
  </mergeCells>
  <pageMargins left="0.28000000000000003" right="0.12" top="0.64" bottom="1" header="0" footer="0"/>
  <pageSetup paperSize="9" scale="53" orientation="portrait" horizontalDpi="4294967293"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1:M43"/>
  <sheetViews>
    <sheetView showGridLines="0" topLeftCell="B22" zoomScaleNormal="100" workbookViewId="0">
      <selection activeCell="E39" sqref="E39"/>
    </sheetView>
  </sheetViews>
  <sheetFormatPr defaultColWidth="11.42578125" defaultRowHeight="15.6"/>
  <cols>
    <col min="1" max="1" width="5.140625" style="10" hidden="1" customWidth="1"/>
    <col min="2" max="2" width="15.7109375" style="8" customWidth="1"/>
    <col min="3" max="3" width="6.28515625" style="10" customWidth="1"/>
    <col min="4" max="4" width="2.5703125" style="10" customWidth="1"/>
    <col min="5" max="5" width="42.7109375" style="21" customWidth="1"/>
    <col min="6" max="6" width="3.140625" style="10" customWidth="1"/>
    <col min="7" max="7" width="17.42578125" style="10" bestFit="1" customWidth="1"/>
    <col min="8" max="8" width="46.42578125" style="21" bestFit="1" customWidth="1"/>
    <col min="9" max="16384" width="11.42578125" style="10"/>
  </cols>
  <sheetData>
    <row r="1" spans="1:13" ht="16.149999999999999" thickBot="1">
      <c r="A1" s="1"/>
      <c r="B1" s="2"/>
      <c r="C1" s="42"/>
      <c r="D1" s="42"/>
      <c r="E1" s="43"/>
      <c r="F1" s="42"/>
      <c r="G1" s="42"/>
      <c r="H1" s="44"/>
      <c r="I1" s="9"/>
    </row>
    <row r="2" spans="1:13" ht="21.6" thickBot="1">
      <c r="A2" s="1"/>
      <c r="B2" s="13" t="s">
        <v>13</v>
      </c>
      <c r="C2" s="42"/>
      <c r="D2" s="42"/>
      <c r="E2" s="38" t="str">
        <f>+Operacion!G57</f>
        <v>Seleccione Empresa</v>
      </c>
      <c r="F2" s="45"/>
      <c r="G2" s="13" t="s">
        <v>250</v>
      </c>
      <c r="H2" s="46">
        <f>+Operacion!D1</f>
        <v>46278</v>
      </c>
      <c r="I2" s="9"/>
    </row>
    <row r="3" spans="1:13" ht="21.75" customHeight="1" thickBot="1">
      <c r="A3" s="1"/>
      <c r="B3" s="6"/>
      <c r="C3" s="42"/>
      <c r="D3" s="42"/>
      <c r="E3" s="47"/>
      <c r="F3" s="48"/>
      <c r="G3" s="42"/>
      <c r="H3" s="22"/>
      <c r="I3" s="9"/>
    </row>
    <row r="4" spans="1:13" ht="21" customHeight="1" thickBot="1">
      <c r="A4" s="1"/>
      <c r="B4" s="13" t="s">
        <v>245</v>
      </c>
      <c r="C4" s="42"/>
      <c r="D4" s="42"/>
      <c r="E4" s="39">
        <f>+Operacion!H58</f>
        <v>0</v>
      </c>
      <c r="F4" s="49"/>
      <c r="G4" s="13" t="s">
        <v>251</v>
      </c>
      <c r="H4" s="50">
        <f>+Operacion!L58</f>
        <v>0</v>
      </c>
      <c r="I4" s="265"/>
    </row>
    <row r="5" spans="1:13" ht="15.75" customHeight="1" thickBot="1">
      <c r="A5" s="1"/>
      <c r="B5" s="2"/>
      <c r="C5" s="42"/>
      <c r="D5" s="42"/>
      <c r="E5" s="43"/>
      <c r="F5" s="42"/>
      <c r="G5" s="42"/>
      <c r="H5" s="44"/>
      <c r="I5" s="265"/>
    </row>
    <row r="6" spans="1:13" ht="26.45" thickBot="1">
      <c r="A6" s="1"/>
      <c r="B6" s="13" t="s">
        <v>252</v>
      </c>
      <c r="C6" s="1"/>
      <c r="D6" s="42"/>
      <c r="E6" s="37" t="str">
        <f>+Operacion!B58</f>
        <v>GDU113</v>
      </c>
      <c r="F6" s="20"/>
      <c r="G6" s="13" t="s">
        <v>239</v>
      </c>
      <c r="H6" s="23" t="str">
        <f>VLOOKUP(E6,tablaequipo,6)</f>
        <v>IVECO</v>
      </c>
      <c r="I6" s="9"/>
    </row>
    <row r="7" spans="1:13" ht="15.75" customHeight="1">
      <c r="A7" s="1"/>
      <c r="B7" s="2"/>
      <c r="C7" s="42"/>
      <c r="D7" s="42"/>
      <c r="E7" s="23" t="str">
        <f>VLOOKUP(E6,tablaequipo,4)</f>
        <v xml:space="preserve">Camion </v>
      </c>
      <c r="F7" s="20"/>
      <c r="G7" s="13" t="s">
        <v>240</v>
      </c>
      <c r="H7" s="24" t="str">
        <f>VLOOKUP(E6,tablaequipo,7)</f>
        <v>TECTOR 240</v>
      </c>
      <c r="I7" s="9"/>
      <c r="M7" s="11"/>
    </row>
    <row r="8" spans="1:13" ht="15.75" customHeight="1" thickBot="1">
      <c r="A8" s="1"/>
      <c r="B8" s="2"/>
      <c r="C8" s="42"/>
      <c r="D8" s="42"/>
      <c r="E8" s="25">
        <f>VLOOKUP(E6,tablaequipo,5)</f>
        <v>0</v>
      </c>
      <c r="F8" s="20"/>
      <c r="G8" s="13" t="s">
        <v>241</v>
      </c>
      <c r="H8" s="25" t="str">
        <f>VLOOKUP(E6,tablaequipo,8)</f>
        <v>AG368PJ</v>
      </c>
      <c r="I8" s="9"/>
      <c r="M8" s="11"/>
    </row>
    <row r="9" spans="1:13" ht="16.5" customHeight="1" thickBot="1">
      <c r="A9" s="1"/>
      <c r="B9" s="2"/>
      <c r="C9" s="42"/>
      <c r="D9" s="42"/>
      <c r="E9" s="45"/>
      <c r="F9" s="51"/>
      <c r="G9" s="42"/>
      <c r="H9" s="44"/>
      <c r="I9" s="9"/>
      <c r="M9" s="11" t="s">
        <v>253</v>
      </c>
    </row>
    <row r="10" spans="1:13" ht="24" thickBot="1">
      <c r="A10" s="1"/>
      <c r="B10" s="13" t="s">
        <v>254</v>
      </c>
      <c r="C10" s="42"/>
      <c r="D10" s="42"/>
      <c r="E10" s="38" t="str">
        <f>Operacion!D58</f>
        <v>Seleccione Chofer</v>
      </c>
      <c r="F10" s="45"/>
      <c r="G10" s="142" t="str">
        <f>+Operacion!F63</f>
        <v>GDU000</v>
      </c>
      <c r="H10" s="190">
        <f>VLOOKUP(G10,tablatractor,6)</f>
        <v>0</v>
      </c>
      <c r="I10" s="9"/>
    </row>
    <row r="11" spans="1:13" ht="15.75" customHeight="1" thickBot="1">
      <c r="A11" s="1"/>
      <c r="B11" s="2"/>
      <c r="C11" s="42"/>
      <c r="D11" s="42"/>
      <c r="E11" s="44"/>
      <c r="F11" s="1"/>
      <c r="G11" s="191" t="str">
        <f>VLOOKUP(G10,tablatractor,3)</f>
        <v>Seleccione Equipo</v>
      </c>
      <c r="H11" s="192">
        <f>VLOOKUP(G10,tablatractor,4)</f>
        <v>0</v>
      </c>
      <c r="I11" s="9"/>
      <c r="M11" s="9"/>
    </row>
    <row r="12" spans="1:13" ht="16.5" customHeight="1" thickBot="1">
      <c r="A12" s="1"/>
      <c r="B12" s="2"/>
      <c r="C12" s="42"/>
      <c r="D12" s="42"/>
      <c r="E12" s="44"/>
      <c r="F12" s="1"/>
      <c r="G12" s="42"/>
      <c r="H12" s="44"/>
      <c r="I12" s="9"/>
      <c r="M12" s="12"/>
    </row>
    <row r="13" spans="1:13" ht="20.25" customHeight="1" thickBot="1">
      <c r="A13" s="1"/>
      <c r="B13" s="13" t="s">
        <v>255</v>
      </c>
      <c r="C13" s="42"/>
      <c r="D13" s="52">
        <v>1</v>
      </c>
      <c r="E13" s="38" t="str">
        <f>Operacion!D59</f>
        <v>Selección Acompanante</v>
      </c>
      <c r="F13" s="45"/>
      <c r="G13" s="52">
        <v>4</v>
      </c>
      <c r="H13" s="38" t="str">
        <f>Operacion!D62</f>
        <v>Selección Acompanante</v>
      </c>
      <c r="I13" s="9"/>
    </row>
    <row r="14" spans="1:13" ht="20.25" customHeight="1" thickBot="1">
      <c r="A14" s="1"/>
      <c r="B14" s="2"/>
      <c r="C14" s="42"/>
      <c r="D14" s="52">
        <v>2</v>
      </c>
      <c r="E14" s="38" t="str">
        <f>Operacion!D60</f>
        <v>Selección Acompanante</v>
      </c>
      <c r="F14" s="45"/>
      <c r="G14" s="52">
        <v>5</v>
      </c>
      <c r="H14" s="38" t="str">
        <f>Operacion!D63</f>
        <v>Selección Acompanante</v>
      </c>
      <c r="I14" s="9"/>
    </row>
    <row r="15" spans="1:13" ht="20.25" customHeight="1" thickBot="1">
      <c r="A15" s="1"/>
      <c r="B15" s="2"/>
      <c r="C15" s="42"/>
      <c r="D15" s="52">
        <v>3</v>
      </c>
      <c r="E15" s="38" t="str">
        <f>Operacion!D61</f>
        <v>Selección Acompanante</v>
      </c>
      <c r="F15" s="45"/>
      <c r="G15" s="52">
        <v>6</v>
      </c>
      <c r="H15" s="38" t="str">
        <f>Operacion!D64</f>
        <v>Selección Acompanante</v>
      </c>
      <c r="I15" s="9"/>
    </row>
    <row r="16" spans="1:13" ht="20.25" customHeight="1" thickBot="1">
      <c r="A16" s="1"/>
      <c r="B16" s="2"/>
      <c r="C16" s="42"/>
      <c r="D16" s="42"/>
      <c r="E16" s="44"/>
      <c r="F16" s="1"/>
      <c r="G16" s="42"/>
      <c r="H16" s="44"/>
      <c r="I16" s="9"/>
    </row>
    <row r="17" spans="1:9" ht="21.6" thickBot="1">
      <c r="A17" s="1"/>
      <c r="B17" s="13" t="s">
        <v>256</v>
      </c>
      <c r="C17" s="42"/>
      <c r="D17" s="42"/>
      <c r="E17" s="40" t="str">
        <f>+Operacion!H63</f>
        <v>Seleccione Verificador</v>
      </c>
      <c r="F17" s="45"/>
      <c r="G17" s="42"/>
      <c r="H17" s="44"/>
      <c r="I17" s="9"/>
    </row>
    <row r="18" spans="1:9" ht="20.25" customHeight="1" thickBot="1">
      <c r="A18" s="1"/>
      <c r="B18" s="2"/>
      <c r="C18" s="42"/>
      <c r="D18" s="42"/>
      <c r="E18" s="44"/>
      <c r="F18" s="1"/>
      <c r="G18" s="42"/>
      <c r="H18" s="44"/>
      <c r="I18" s="9"/>
    </row>
    <row r="19" spans="1:9" ht="21.6" thickBot="1">
      <c r="A19" s="1"/>
      <c r="B19" s="13" t="s">
        <v>257</v>
      </c>
      <c r="C19" s="42"/>
      <c r="D19" s="42"/>
      <c r="E19" s="40" t="str">
        <f>+Operacion!K63</f>
        <v>Selección Operador</v>
      </c>
      <c r="F19" s="45"/>
      <c r="G19" s="42"/>
      <c r="H19" s="44"/>
      <c r="I19" s="9"/>
    </row>
    <row r="20" spans="1:9" ht="20.25" customHeight="1" thickBot="1">
      <c r="A20" s="1"/>
      <c r="B20" s="2"/>
      <c r="C20" s="42"/>
      <c r="D20" s="42"/>
      <c r="E20" s="44"/>
      <c r="F20" s="1"/>
      <c r="G20" s="42"/>
      <c r="H20" s="44"/>
      <c r="I20" s="9"/>
    </row>
    <row r="21" spans="1:9" ht="20.25" customHeight="1">
      <c r="A21" s="1"/>
      <c r="B21" s="13" t="s">
        <v>258</v>
      </c>
      <c r="C21" s="53"/>
      <c r="D21" s="53"/>
      <c r="E21" s="213">
        <f>+Operacion!H59</f>
        <v>0</v>
      </c>
      <c r="F21" s="214"/>
      <c r="G21" s="214"/>
      <c r="H21" s="215"/>
      <c r="I21" s="9"/>
    </row>
    <row r="22" spans="1:9" ht="20.25" customHeight="1">
      <c r="A22" s="1"/>
      <c r="B22" s="2"/>
      <c r="C22" s="2"/>
      <c r="D22" s="2"/>
      <c r="E22" s="216"/>
      <c r="F22" s="217"/>
      <c r="G22" s="217"/>
      <c r="H22" s="218"/>
      <c r="I22" s="9"/>
    </row>
    <row r="23" spans="1:9" ht="20.25" customHeight="1" thickBot="1">
      <c r="A23" s="1"/>
      <c r="B23" s="2"/>
      <c r="C23" s="54"/>
      <c r="D23" s="54"/>
      <c r="E23" s="219"/>
      <c r="F23" s="220"/>
      <c r="G23" s="220"/>
      <c r="H23" s="221"/>
      <c r="I23" s="9"/>
    </row>
    <row r="24" spans="1:9" ht="20.25" customHeight="1" thickBot="1">
      <c r="A24" s="1"/>
      <c r="B24" s="2"/>
      <c r="C24" s="42"/>
      <c r="D24" s="42"/>
      <c r="E24" s="43"/>
      <c r="F24" s="42"/>
      <c r="G24" s="42"/>
      <c r="H24" s="44"/>
      <c r="I24" s="9"/>
    </row>
    <row r="25" spans="1:9" ht="20.25" customHeight="1">
      <c r="A25" s="1"/>
      <c r="B25" s="13" t="s">
        <v>259</v>
      </c>
      <c r="C25" s="53"/>
      <c r="D25" s="53"/>
      <c r="E25" s="213">
        <f>+Operacion!H60</f>
        <v>0</v>
      </c>
      <c r="F25" s="214"/>
      <c r="G25" s="214"/>
      <c r="H25" s="215"/>
      <c r="I25" s="9"/>
    </row>
    <row r="26" spans="1:9" ht="20.25" customHeight="1" thickBot="1">
      <c r="A26" s="1"/>
      <c r="B26" s="6"/>
      <c r="C26" s="55"/>
      <c r="D26" s="55"/>
      <c r="E26" s="219">
        <f>+Operacion!L60</f>
        <v>0</v>
      </c>
      <c r="F26" s="220"/>
      <c r="G26" s="220"/>
      <c r="H26" s="221"/>
      <c r="I26" s="9"/>
    </row>
    <row r="27" spans="1:9" ht="20.25" customHeight="1" thickBot="1">
      <c r="A27" s="1"/>
      <c r="B27" s="6"/>
      <c r="C27" s="42"/>
      <c r="D27" s="42"/>
      <c r="E27" s="56"/>
      <c r="F27" s="55"/>
      <c r="G27" s="42"/>
      <c r="H27" s="44"/>
      <c r="I27" s="9"/>
    </row>
    <row r="28" spans="1:9" ht="20.25" customHeight="1">
      <c r="A28" s="1"/>
      <c r="B28" s="13" t="s">
        <v>243</v>
      </c>
      <c r="C28" s="53"/>
      <c r="D28" s="53"/>
      <c r="E28" s="213">
        <f>+Operacion!H61</f>
        <v>0</v>
      </c>
      <c r="F28" s="214"/>
      <c r="G28" s="214"/>
      <c r="H28" s="215"/>
      <c r="I28" s="9"/>
    </row>
    <row r="29" spans="1:9" ht="20.25" customHeight="1">
      <c r="A29" s="1"/>
      <c r="B29" s="2"/>
      <c r="C29" s="2"/>
      <c r="D29" s="2"/>
      <c r="E29" s="216"/>
      <c r="F29" s="217"/>
      <c r="G29" s="217"/>
      <c r="H29" s="218"/>
      <c r="I29" s="9"/>
    </row>
    <row r="30" spans="1:9" ht="20.25" customHeight="1" thickBot="1">
      <c r="A30" s="1"/>
      <c r="B30" s="2"/>
      <c r="C30" s="2"/>
      <c r="D30" s="2"/>
      <c r="E30" s="219"/>
      <c r="F30" s="220"/>
      <c r="G30" s="220"/>
      <c r="H30" s="221"/>
      <c r="I30" s="9"/>
    </row>
    <row r="31" spans="1:9" ht="20.25" customHeight="1" thickBot="1">
      <c r="A31" s="1"/>
      <c r="B31" s="6"/>
      <c r="C31" s="1"/>
      <c r="D31" s="1"/>
      <c r="E31" s="56"/>
      <c r="F31" s="55"/>
      <c r="G31" s="1"/>
      <c r="H31" s="44"/>
      <c r="I31" s="9"/>
    </row>
    <row r="32" spans="1:9" ht="20.25" customHeight="1">
      <c r="A32" s="1"/>
      <c r="B32" s="13" t="s">
        <v>259</v>
      </c>
      <c r="C32" s="53"/>
      <c r="D32" s="53"/>
      <c r="E32" s="213">
        <f>+Operacion!H62</f>
        <v>0</v>
      </c>
      <c r="F32" s="214"/>
      <c r="G32" s="214"/>
      <c r="H32" s="215"/>
      <c r="I32" s="9"/>
    </row>
    <row r="33" spans="1:9" ht="20.25" customHeight="1" thickBot="1">
      <c r="A33" s="1"/>
      <c r="B33" s="6"/>
      <c r="C33" s="55"/>
      <c r="D33" s="55"/>
      <c r="E33" s="219">
        <f>+Operacion!L62</f>
        <v>0</v>
      </c>
      <c r="F33" s="220"/>
      <c r="G33" s="220"/>
      <c r="H33" s="221"/>
      <c r="I33" s="9"/>
    </row>
    <row r="34" spans="1:9" ht="20.25" customHeight="1" thickBot="1">
      <c r="A34" s="1"/>
      <c r="B34" s="6"/>
      <c r="C34" s="42"/>
      <c r="D34" s="42"/>
      <c r="E34" s="56"/>
      <c r="F34" s="55"/>
      <c r="G34" s="42"/>
      <c r="H34" s="44"/>
      <c r="I34" s="9"/>
    </row>
    <row r="35" spans="1:9" ht="20.25" customHeight="1">
      <c r="A35" s="1"/>
      <c r="B35" s="13" t="s">
        <v>260</v>
      </c>
      <c r="C35" s="53"/>
      <c r="D35" s="53"/>
      <c r="E35" s="204"/>
      <c r="F35" s="205"/>
      <c r="G35" s="205"/>
      <c r="H35" s="206"/>
      <c r="I35" s="9"/>
    </row>
    <row r="36" spans="1:9" ht="20.25" customHeight="1">
      <c r="A36" s="1"/>
      <c r="B36" s="2"/>
      <c r="C36" s="54"/>
      <c r="D36" s="54"/>
      <c r="E36" s="207"/>
      <c r="F36" s="208"/>
      <c r="G36" s="208"/>
      <c r="H36" s="209"/>
      <c r="I36" s="9"/>
    </row>
    <row r="37" spans="1:9" ht="20.25" customHeight="1">
      <c r="A37" s="1"/>
      <c r="B37" s="2"/>
      <c r="C37" s="54"/>
      <c r="D37" s="54"/>
      <c r="E37" s="207"/>
      <c r="F37" s="208"/>
      <c r="G37" s="208"/>
      <c r="H37" s="209"/>
      <c r="I37" s="9"/>
    </row>
    <row r="38" spans="1:9" ht="20.25" customHeight="1" thickBot="1">
      <c r="A38" s="1"/>
      <c r="B38" s="2"/>
      <c r="C38" s="54"/>
      <c r="D38" s="54"/>
      <c r="E38" s="210"/>
      <c r="F38" s="211"/>
      <c r="G38" s="211"/>
      <c r="H38" s="212"/>
      <c r="I38" s="9"/>
    </row>
    <row r="39" spans="1:9">
      <c r="A39" s="1"/>
      <c r="B39" s="2"/>
      <c r="C39" s="42"/>
      <c r="D39" s="42"/>
      <c r="E39" s="43"/>
      <c r="F39" s="42"/>
      <c r="G39" s="42"/>
      <c r="H39" s="44"/>
      <c r="I39" s="9"/>
    </row>
    <row r="40" spans="1:9">
      <c r="C40" s="9"/>
      <c r="D40" s="9"/>
      <c r="E40" s="26"/>
      <c r="F40" s="9"/>
      <c r="G40" s="9"/>
      <c r="I40" s="9"/>
    </row>
    <row r="41" spans="1:9">
      <c r="C41" s="9"/>
      <c r="D41" s="9"/>
      <c r="E41" s="26"/>
      <c r="F41" s="9"/>
      <c r="G41" s="9"/>
      <c r="I41" s="9"/>
    </row>
    <row r="42" spans="1:9">
      <c r="C42" s="9"/>
      <c r="D42" s="9"/>
      <c r="E42" s="26"/>
      <c r="F42" s="9"/>
      <c r="G42" s="9"/>
      <c r="I42" s="9"/>
    </row>
    <row r="43" spans="1:9">
      <c r="C43" s="9"/>
      <c r="D43" s="9"/>
      <c r="E43" s="26"/>
      <c r="F43" s="9"/>
      <c r="G43" s="9"/>
      <c r="I43" s="9"/>
    </row>
  </sheetData>
  <sheetProtection algorithmName="SHA-512" hashValue="mUezhV4B81bkc2SlG6IslY8BsSVISqOqS1SU1pAIZo1oghCx+M6diTG47uxiaoMbfcQ4zqiW+3STdvMRME2pbg==" saltValue="F/ZTub/ZyQrFfMv6PSofNQ==" spinCount="100000" sheet="1" objects="1" scenarios="1"/>
  <dataConsolidate/>
  <mergeCells count="8">
    <mergeCell ref="E33:H33"/>
    <mergeCell ref="E35:H38"/>
    <mergeCell ref="I4:I5"/>
    <mergeCell ref="E21:H23"/>
    <mergeCell ref="E25:H25"/>
    <mergeCell ref="E26:H26"/>
    <mergeCell ref="E28:H30"/>
    <mergeCell ref="E32:H32"/>
  </mergeCells>
  <dataValidations count="3">
    <dataValidation type="list" allowBlank="1" showInputMessage="1" showErrorMessage="1" sqref="F13:F15" xr:uid="{00000000-0002-0000-0C00-000000000000}">
      <formula1>#REF!</formula1>
    </dataValidation>
    <dataValidation type="list" allowBlank="1" showInputMessage="1" showErrorMessage="1" sqref="F10" xr:uid="{00000000-0002-0000-0C00-000001000000}">
      <formula1>$D$2:$D$47</formula1>
    </dataValidation>
    <dataValidation type="list" allowBlank="1" showInputMessage="1" showErrorMessage="1" sqref="E6" xr:uid="{00000000-0002-0000-0C00-000002000000}">
      <formula1>unidad</formula1>
    </dataValidation>
  </dataValidations>
  <pageMargins left="0.28000000000000003" right="0.12" top="0.64" bottom="1" header="0" footer="0"/>
  <pageSetup paperSize="9" scale="53" orientation="portrait" horizontalDpi="4294967293" r:id="rId1"/>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3000000}">
          <x14:formula1>
            <xm:f>Operador!$D$5:$D$7</xm:f>
          </x14:formula1>
          <xm:sqref>E19:F19</xm:sqref>
        </x14:dataValidation>
        <x14:dataValidation type="list" allowBlank="1" showInputMessage="1" showErrorMessage="1" xr:uid="{00000000-0002-0000-0C00-000004000000}">
          <x14:formula1>
            <xm:f>Verificador!$D$3:$D$8</xm:f>
          </x14:formula1>
          <xm:sqref>E17:F17</xm:sqref>
        </x14:dataValidation>
        <x14:dataValidation type="list" allowBlank="1" showInputMessage="1" showErrorMessage="1" xr:uid="{00000000-0002-0000-0C00-000005000000}">
          <x14:formula1>
            <xm:f>Empresas!$C$2:$C$10</xm:f>
          </x14:formula1>
          <xm:sqref>E2:F2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0">
    <tabColor rgb="FF92D050"/>
    <pageSetUpPr fitToPage="1"/>
  </sheetPr>
  <dimension ref="A1:M43"/>
  <sheetViews>
    <sheetView showGridLines="0" topLeftCell="B22" zoomScaleNormal="100" workbookViewId="0">
      <selection activeCell="E35" sqref="E35:H38"/>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+Operacion!G66</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+Operacion!H67</f>
        <v>0</v>
      </c>
      <c r="F4" s="49"/>
      <c r="G4" s="13" t="s">
        <v>251</v>
      </c>
      <c r="H4" s="50">
        <f>+Operacion!L67</f>
        <v>0</v>
      </c>
      <c r="I4" s="266"/>
    </row>
    <row r="5" spans="2:13" ht="15.75" customHeight="1" thickBot="1">
      <c r="C5" s="42"/>
      <c r="D5" s="42"/>
      <c r="E5" s="43"/>
      <c r="F5" s="42"/>
      <c r="G5" s="42"/>
      <c r="I5" s="266"/>
    </row>
    <row r="6" spans="2:13" ht="26.45" thickBot="1">
      <c r="B6" s="13" t="s">
        <v>252</v>
      </c>
      <c r="D6" s="42"/>
      <c r="E6" s="37" t="str">
        <f>+Operacion!B67</f>
        <v>GDU109</v>
      </c>
      <c r="F6" s="20"/>
      <c r="G6" s="13" t="s">
        <v>239</v>
      </c>
      <c r="H6" s="23" t="str">
        <f>VLOOKUP(E6,tablaequipo,6)</f>
        <v>SCANIA</v>
      </c>
      <c r="I6" s="42"/>
    </row>
    <row r="7" spans="2:13" ht="15.75" customHeight="1">
      <c r="C7" s="42"/>
      <c r="D7" s="42"/>
      <c r="E7" s="23" t="str">
        <f>VLOOKUP(E6,tablaequipo,4)</f>
        <v>Tractor</v>
      </c>
      <c r="F7" s="20"/>
      <c r="G7" s="13" t="s">
        <v>240</v>
      </c>
      <c r="H7" s="24" t="str">
        <f>VLOOKUP(E6,tablaequipo,7)</f>
        <v xml:space="preserve">G410 </v>
      </c>
      <c r="I7" s="42"/>
      <c r="M7" s="57"/>
    </row>
    <row r="8" spans="2:13" ht="15.75" customHeight="1" thickBot="1">
      <c r="C8" s="42"/>
      <c r="D8" s="42"/>
      <c r="E8" s="25">
        <f>VLOOKUP(E6,tablaequipo,5)</f>
        <v>0</v>
      </c>
      <c r="F8" s="20"/>
      <c r="G8" s="13" t="s">
        <v>241</v>
      </c>
      <c r="H8" s="25" t="str">
        <f>VLOOKUP(E6,tablaequipo,8)</f>
        <v>PBA 177</v>
      </c>
      <c r="I8" s="42"/>
      <c r="M8" s="57"/>
    </row>
    <row r="9" spans="2:13" ht="16.5" customHeight="1" thickBot="1">
      <c r="C9" s="42"/>
      <c r="D9" s="42"/>
      <c r="E9" s="45"/>
      <c r="F9" s="51"/>
      <c r="G9" s="42"/>
      <c r="I9" s="42"/>
      <c r="M9" s="57" t="s">
        <v>253</v>
      </c>
    </row>
    <row r="10" spans="2:13" ht="24" thickBot="1">
      <c r="B10" s="13" t="s">
        <v>254</v>
      </c>
      <c r="C10" s="42"/>
      <c r="D10" s="42"/>
      <c r="E10" s="38" t="str">
        <f>+Operacion!D67</f>
        <v>Seleccione Chofer</v>
      </c>
      <c r="F10" s="45"/>
      <c r="G10" s="142" t="str">
        <f>+Operacion!F72</f>
        <v>GDU200</v>
      </c>
      <c r="H10" s="143" t="str">
        <f>VLOOKUP(G10,tablatractor,6)</f>
        <v>GEV 193</v>
      </c>
      <c r="I10" s="42"/>
    </row>
    <row r="11" spans="2:13" ht="15.75" customHeight="1" thickBot="1">
      <c r="C11" s="42"/>
      <c r="D11" s="42"/>
      <c r="G11" s="144" t="str">
        <f>VLOOKUP(G10,tablatractor,3)</f>
        <v>Carreton</v>
      </c>
      <c r="H11" s="145" t="str">
        <f>VLOOKUP(G10,tablatractor,4)</f>
        <v xml:space="preserve">SALTO </v>
      </c>
      <c r="I11" s="42"/>
      <c r="M11" s="42"/>
    </row>
    <row r="12" spans="2:13" ht="16.5" customHeight="1" thickBot="1">
      <c r="C12" s="42"/>
      <c r="D12" s="42"/>
      <c r="G12" s="42"/>
      <c r="I12" s="42"/>
      <c r="M12" s="55"/>
    </row>
    <row r="13" spans="2:13" ht="20.25" customHeight="1" thickBot="1">
      <c r="B13" s="13" t="s">
        <v>255</v>
      </c>
      <c r="C13" s="42"/>
      <c r="D13" s="52">
        <v>1</v>
      </c>
      <c r="E13" s="38" t="str">
        <f>+Operacion!D68</f>
        <v>Selección Acompanante</v>
      </c>
      <c r="F13" s="45"/>
      <c r="G13" s="52">
        <v>4</v>
      </c>
      <c r="H13" s="38" t="str">
        <f>+Operacion!D71</f>
        <v>Selección Acompanante</v>
      </c>
      <c r="I13" s="42"/>
    </row>
    <row r="14" spans="2:13" ht="20.25" customHeight="1" thickBot="1">
      <c r="C14" s="42"/>
      <c r="D14" s="52">
        <v>2</v>
      </c>
      <c r="E14" s="38" t="str">
        <f>+Operacion!D69</f>
        <v>Selección Acompanante</v>
      </c>
      <c r="F14" s="45"/>
      <c r="G14" s="52">
        <v>5</v>
      </c>
      <c r="H14" s="38" t="str">
        <f>+Operacion!D72</f>
        <v>Selección Acompanante</v>
      </c>
      <c r="I14" s="42"/>
    </row>
    <row r="15" spans="2:13" ht="20.25" customHeight="1" thickBot="1">
      <c r="C15" s="42"/>
      <c r="D15" s="52">
        <v>3</v>
      </c>
      <c r="E15" s="38" t="str">
        <f>+Operacion!D70</f>
        <v>Selección Acompanante</v>
      </c>
      <c r="F15" s="45"/>
      <c r="G15" s="52">
        <v>6</v>
      </c>
      <c r="H15" s="38" t="str">
        <f>+Operacion!D73</f>
        <v>Selección Acompanante</v>
      </c>
      <c r="I15" s="42"/>
    </row>
    <row r="16" spans="2:13" ht="20.25" customHeight="1" thickBot="1">
      <c r="C16" s="42"/>
      <c r="D16" s="42"/>
      <c r="G16" s="42"/>
      <c r="I16" s="42"/>
    </row>
    <row r="17" spans="2:9" ht="21.6" thickBot="1">
      <c r="B17" s="13" t="s">
        <v>256</v>
      </c>
      <c r="C17" s="42"/>
      <c r="D17" s="42"/>
      <c r="E17" s="40" t="str">
        <f>+Operacion!H72</f>
        <v>Seleccione Verificador</v>
      </c>
      <c r="F17" s="45"/>
      <c r="G17" s="42"/>
      <c r="I17" s="42"/>
    </row>
    <row r="18" spans="2:9" ht="20.25" customHeight="1" thickBot="1">
      <c r="C18" s="42"/>
      <c r="D18" s="42"/>
      <c r="G18" s="42"/>
      <c r="I18" s="42"/>
    </row>
    <row r="19" spans="2:9" ht="21.6" thickBot="1">
      <c r="B19" s="13" t="s">
        <v>257</v>
      </c>
      <c r="C19" s="42"/>
      <c r="D19" s="42"/>
      <c r="E19" s="40" t="str">
        <f>+Operacion!K72</f>
        <v>Selección Operador</v>
      </c>
      <c r="F19" s="45"/>
      <c r="G19" s="42"/>
      <c r="I19" s="42"/>
    </row>
    <row r="20" spans="2:9" ht="20.25" customHeight="1" thickBot="1">
      <c r="C20" s="42"/>
      <c r="D20" s="42"/>
      <c r="G20" s="42"/>
      <c r="I20" s="42"/>
    </row>
    <row r="21" spans="2:9" ht="20.25" customHeight="1">
      <c r="B21" s="13" t="s">
        <v>258</v>
      </c>
      <c r="C21" s="53"/>
      <c r="D21" s="53"/>
      <c r="E21" s="213">
        <f>+Operacion!H68</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+Operacion!H69</f>
        <v>0</v>
      </c>
      <c r="F25" s="214"/>
      <c r="G25" s="214"/>
      <c r="H25" s="215"/>
      <c r="I25" s="42"/>
    </row>
    <row r="26" spans="2:9" ht="20.25" customHeight="1" thickBot="1">
      <c r="B26" s="6"/>
      <c r="C26" s="55"/>
      <c r="D26" s="55"/>
      <c r="E26" s="219">
        <f>+Operacion!L69</f>
        <v>0</v>
      </c>
      <c r="F26" s="220"/>
      <c r="G26" s="220"/>
      <c r="H26" s="221"/>
      <c r="I26" s="42"/>
    </row>
    <row r="27" spans="2:9" ht="20.25" customHeight="1" thickBot="1">
      <c r="B27" s="6"/>
      <c r="C27" s="42"/>
      <c r="D27" s="42"/>
      <c r="E27" s="56"/>
      <c r="F27" s="55"/>
      <c r="G27" s="42"/>
      <c r="I27" s="42"/>
    </row>
    <row r="28" spans="2:9" ht="20.25" customHeight="1">
      <c r="B28" s="13" t="s">
        <v>243</v>
      </c>
      <c r="C28" s="53"/>
      <c r="D28" s="53"/>
      <c r="E28" s="204">
        <f>+Operacion!H70</f>
        <v>0</v>
      </c>
      <c r="F28" s="205"/>
      <c r="G28" s="205"/>
      <c r="H28" s="206"/>
      <c r="I28" s="42"/>
    </row>
    <row r="29" spans="2:9" ht="20.25" customHeight="1">
      <c r="C29" s="2"/>
      <c r="D29" s="2"/>
      <c r="E29" s="207"/>
      <c r="F29" s="208"/>
      <c r="G29" s="208"/>
      <c r="H29" s="209"/>
      <c r="I29" s="42"/>
    </row>
    <row r="30" spans="2:9" ht="20.25" customHeight="1" thickBot="1">
      <c r="C30" s="2"/>
      <c r="D30" s="2"/>
      <c r="E30" s="210"/>
      <c r="F30" s="211"/>
      <c r="G30" s="211"/>
      <c r="H30" s="212"/>
      <c r="I30" s="42"/>
    </row>
    <row r="31" spans="2:9" ht="20.25" customHeight="1" thickBot="1">
      <c r="B31" s="6"/>
      <c r="E31" s="56"/>
      <c r="F31" s="55"/>
      <c r="I31" s="42"/>
    </row>
    <row r="32" spans="2:9" ht="20.25" customHeight="1">
      <c r="B32" s="13" t="s">
        <v>259</v>
      </c>
      <c r="C32" s="53"/>
      <c r="D32" s="53"/>
      <c r="E32" s="213">
        <f>+Operacion!H71</f>
        <v>0</v>
      </c>
      <c r="F32" s="214"/>
      <c r="G32" s="214"/>
      <c r="H32" s="215"/>
      <c r="I32" s="42"/>
    </row>
    <row r="33" spans="2:9" ht="20.25" customHeight="1" thickBot="1">
      <c r="B33" s="6"/>
      <c r="C33" s="55"/>
      <c r="D33" s="55"/>
      <c r="E33" s="219">
        <f>+Operacion!L71</f>
        <v>0</v>
      </c>
      <c r="F33" s="220"/>
      <c r="G33" s="220"/>
      <c r="H33" s="221"/>
      <c r="I33" s="42"/>
    </row>
    <row r="34" spans="2:9" ht="20.25" customHeight="1" thickBot="1">
      <c r="B34" s="6"/>
      <c r="C34" s="42"/>
      <c r="D34" s="42"/>
      <c r="E34" s="56"/>
      <c r="F34" s="55"/>
      <c r="G34" s="42"/>
      <c r="I34" s="42"/>
    </row>
    <row r="35" spans="2:9" ht="20.25" customHeight="1">
      <c r="B35" s="13" t="s">
        <v>260</v>
      </c>
      <c r="C35" s="53"/>
      <c r="D35" s="53"/>
      <c r="E35" s="204"/>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RxTTPb1YT3AOoJFf5p49nb569JobxKJloI2E/0n7Dn28yLujvxrVr7+nCmWwiA4YMJYn9VOKFruSt7xl4R0Txg==" saltValue="v6Ltg57fkU6p54HLnj8UBQ==" spinCount="100000" sheet="1" objects="1" scenarios="1"/>
  <dataConsolidate/>
  <mergeCells count="8">
    <mergeCell ref="E35:H38"/>
    <mergeCell ref="I4:I5"/>
    <mergeCell ref="E25:H25"/>
    <mergeCell ref="E26:H26"/>
    <mergeCell ref="E32:H32"/>
    <mergeCell ref="E33:H33"/>
    <mergeCell ref="E21:H23"/>
    <mergeCell ref="E28:H30"/>
  </mergeCells>
  <pageMargins left="0.28000000000000003" right="0.12" top="0.64" bottom="1" header="0" footer="0"/>
  <pageSetup paperSize="9" scale="53" orientation="portrait" horizontalDpi="4294967293"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2">
    <tabColor rgb="FF92D050"/>
    <pageSetUpPr fitToPage="1"/>
  </sheetPr>
  <dimension ref="A1:M43"/>
  <sheetViews>
    <sheetView showGridLines="0" topLeftCell="B25" zoomScaleNormal="100" workbookViewId="0">
      <selection activeCell="D35" sqref="D35"/>
    </sheetView>
  </sheetViews>
  <sheetFormatPr defaultColWidth="11.42578125" defaultRowHeight="15.6"/>
  <cols>
    <col min="1" max="1" width="5.140625" style="10" hidden="1" customWidth="1"/>
    <col min="2" max="2" width="15.7109375" style="8" customWidth="1"/>
    <col min="3" max="3" width="6.28515625" style="10" customWidth="1"/>
    <col min="4" max="4" width="2.5703125" style="10" customWidth="1"/>
    <col min="5" max="5" width="42.7109375" style="21" customWidth="1"/>
    <col min="6" max="6" width="3.140625" style="10" customWidth="1"/>
    <col min="7" max="7" width="17.42578125" style="10" bestFit="1" customWidth="1"/>
    <col min="8" max="8" width="46.42578125" style="21" bestFit="1" customWidth="1"/>
    <col min="9" max="16384" width="11.42578125" style="10"/>
  </cols>
  <sheetData>
    <row r="1" spans="1:13" ht="16.149999999999999" thickBot="1">
      <c r="A1" s="1"/>
      <c r="B1" s="2"/>
      <c r="C1" s="42"/>
      <c r="D1" s="42"/>
      <c r="E1" s="43"/>
      <c r="F1" s="42"/>
      <c r="G1" s="42"/>
      <c r="H1" s="44"/>
      <c r="I1" s="9"/>
    </row>
    <row r="2" spans="1:13" ht="21.6" thickBot="1">
      <c r="A2" s="1"/>
      <c r="B2" s="13" t="s">
        <v>13</v>
      </c>
      <c r="C2" s="42"/>
      <c r="D2" s="42"/>
      <c r="E2" s="38" t="str">
        <f>+Operacion!G75</f>
        <v>Seleccione Empresa</v>
      </c>
      <c r="F2" s="45"/>
      <c r="G2" s="13" t="s">
        <v>250</v>
      </c>
      <c r="H2" s="46">
        <f>+Operacion!D1</f>
        <v>46278</v>
      </c>
      <c r="I2" s="9"/>
    </row>
    <row r="3" spans="1:13" ht="21.75" customHeight="1" thickBot="1">
      <c r="A3" s="1"/>
      <c r="B3" s="6"/>
      <c r="C3" s="42"/>
      <c r="D3" s="42"/>
      <c r="E3" s="47"/>
      <c r="F3" s="48"/>
      <c r="G3" s="42"/>
      <c r="H3" s="22"/>
      <c r="I3" s="9"/>
    </row>
    <row r="4" spans="1:13" ht="21" customHeight="1" thickBot="1">
      <c r="A4" s="1"/>
      <c r="B4" s="13" t="s">
        <v>245</v>
      </c>
      <c r="C4" s="42"/>
      <c r="D4" s="42"/>
      <c r="E4" s="39">
        <f>+Operacion!H76</f>
        <v>0</v>
      </c>
      <c r="F4" s="49"/>
      <c r="G4" s="13" t="s">
        <v>251</v>
      </c>
      <c r="H4" s="50">
        <f>+Operacion!L76</f>
        <v>0</v>
      </c>
      <c r="I4" s="265"/>
    </row>
    <row r="5" spans="1:13" ht="15.75" customHeight="1" thickBot="1">
      <c r="A5" s="1"/>
      <c r="B5" s="2"/>
      <c r="C5" s="42"/>
      <c r="D5" s="42"/>
      <c r="E5" s="43"/>
      <c r="F5" s="42"/>
      <c r="G5" s="42"/>
      <c r="H5" s="44"/>
      <c r="I5" s="265"/>
    </row>
    <row r="6" spans="1:13" ht="26.45" thickBot="1">
      <c r="A6" s="1"/>
      <c r="B6" s="13" t="s">
        <v>252</v>
      </c>
      <c r="C6" s="1"/>
      <c r="D6" s="42"/>
      <c r="E6" s="37" t="str">
        <f>+Operacion!B76</f>
        <v>GDU112</v>
      </c>
      <c r="F6" s="20"/>
      <c r="G6" s="13" t="s">
        <v>239</v>
      </c>
      <c r="H6" s="23" t="str">
        <f>VLOOKUP(E6,tablaequipo,6)</f>
        <v>IVECO</v>
      </c>
      <c r="I6" s="9"/>
    </row>
    <row r="7" spans="1:13" ht="15.75" customHeight="1">
      <c r="A7" s="1"/>
      <c r="B7" s="2"/>
      <c r="C7" s="42"/>
      <c r="D7" s="42"/>
      <c r="E7" s="23" t="str">
        <f>VLOOKUP(E6,tablaequipo,4)</f>
        <v>Tractor</v>
      </c>
      <c r="F7" s="20"/>
      <c r="G7" s="13" t="s">
        <v>240</v>
      </c>
      <c r="H7" s="24" t="str">
        <f>VLOOKUP(E6,tablaequipo,7)</f>
        <v>STRALIS - 440</v>
      </c>
      <c r="I7" s="9"/>
      <c r="M7" s="11"/>
    </row>
    <row r="8" spans="1:13" ht="15.75" customHeight="1" thickBot="1">
      <c r="A8" s="1"/>
      <c r="B8" s="2"/>
      <c r="C8" s="42"/>
      <c r="D8" s="42"/>
      <c r="E8" s="25">
        <f>VLOOKUP(E6,tablaequipo,5)</f>
        <v>0</v>
      </c>
      <c r="F8" s="20"/>
      <c r="G8" s="13" t="s">
        <v>241</v>
      </c>
      <c r="H8" s="25" t="str">
        <f>VLOOKUP(E6,tablaequipo,8)</f>
        <v>AF442SD</v>
      </c>
      <c r="I8" s="9"/>
      <c r="M8" s="11"/>
    </row>
    <row r="9" spans="1:13" ht="16.5" customHeight="1" thickBot="1">
      <c r="A9" s="1"/>
      <c r="B9" s="2"/>
      <c r="C9" s="42"/>
      <c r="D9" s="42"/>
      <c r="E9" s="45"/>
      <c r="F9" s="51"/>
      <c r="G9" s="42"/>
      <c r="H9" s="44"/>
      <c r="I9" s="9"/>
      <c r="M9" s="11" t="s">
        <v>253</v>
      </c>
    </row>
    <row r="10" spans="1:13" ht="24" thickBot="1">
      <c r="A10" s="1"/>
      <c r="B10" s="13" t="s">
        <v>254</v>
      </c>
      <c r="C10" s="42"/>
      <c r="D10" s="42"/>
      <c r="E10" s="38" t="str">
        <f>+Operacion!D76</f>
        <v>Seleccione Chofer</v>
      </c>
      <c r="F10" s="45"/>
      <c r="G10" s="142" t="str">
        <f>+Operacion!F81</f>
        <v>GDU300</v>
      </c>
      <c r="H10" s="143" t="str">
        <f>VLOOKUP(G10,tablatractor,6)</f>
        <v>SNN 095</v>
      </c>
      <c r="I10" s="9"/>
    </row>
    <row r="11" spans="1:13" ht="15.75" customHeight="1" thickBot="1">
      <c r="A11" s="1"/>
      <c r="B11" s="2"/>
      <c r="C11" s="42"/>
      <c r="D11" s="42"/>
      <c r="E11" s="44"/>
      <c r="F11" s="1"/>
      <c r="G11" s="144" t="str">
        <f>VLOOKUP(G10,tablatractor,3)</f>
        <v>Semirremolque</v>
      </c>
      <c r="H11" s="145" t="str">
        <f>VLOOKUP(G10,tablatractor,4)</f>
        <v>GOMATRO</v>
      </c>
      <c r="I11" s="9"/>
      <c r="M11" s="9"/>
    </row>
    <row r="12" spans="1:13" ht="16.5" customHeight="1" thickBot="1">
      <c r="A12" s="1"/>
      <c r="B12" s="2"/>
      <c r="C12" s="42"/>
      <c r="D12" s="42"/>
      <c r="E12" s="44"/>
      <c r="F12" s="1"/>
      <c r="G12" s="42"/>
      <c r="H12" s="44"/>
      <c r="I12" s="9"/>
      <c r="M12" s="12"/>
    </row>
    <row r="13" spans="1:13" ht="20.25" customHeight="1" thickBot="1">
      <c r="A13" s="1"/>
      <c r="B13" s="13" t="s">
        <v>255</v>
      </c>
      <c r="C13" s="42"/>
      <c r="D13" s="52">
        <v>1</v>
      </c>
      <c r="E13" s="38" t="str">
        <f>+Operacion!D77</f>
        <v>Selección Acompanante</v>
      </c>
      <c r="F13" s="45"/>
      <c r="G13" s="52">
        <v>4</v>
      </c>
      <c r="H13" s="38" t="str">
        <f>+Operacion!D80</f>
        <v>Selección Acompanante</v>
      </c>
      <c r="I13" s="9"/>
    </row>
    <row r="14" spans="1:13" ht="20.25" customHeight="1" thickBot="1">
      <c r="A14" s="1"/>
      <c r="B14" s="2"/>
      <c r="C14" s="42"/>
      <c r="D14" s="52">
        <v>2</v>
      </c>
      <c r="E14" s="38" t="str">
        <f>+Operacion!D78</f>
        <v>Selección Acompanante</v>
      </c>
      <c r="F14" s="45"/>
      <c r="G14" s="52">
        <v>5</v>
      </c>
      <c r="H14" s="38" t="str">
        <f>+Operacion!D81</f>
        <v>Selección Acompanante</v>
      </c>
      <c r="I14" s="9"/>
    </row>
    <row r="15" spans="1:13" ht="20.25" customHeight="1" thickBot="1">
      <c r="A15" s="1"/>
      <c r="B15" s="2"/>
      <c r="C15" s="42"/>
      <c r="D15" s="52">
        <v>3</v>
      </c>
      <c r="E15" s="38" t="str">
        <f>+Operacion!D79</f>
        <v>Selección Acompanante</v>
      </c>
      <c r="F15" s="45"/>
      <c r="G15" s="52">
        <v>6</v>
      </c>
      <c r="H15" s="38" t="str">
        <f>+Operacion!D82</f>
        <v>Selección Acompanante</v>
      </c>
      <c r="I15" s="9"/>
    </row>
    <row r="16" spans="1:13" ht="20.25" customHeight="1" thickBot="1">
      <c r="A16" s="1"/>
      <c r="B16" s="2"/>
      <c r="C16" s="42"/>
      <c r="D16" s="42"/>
      <c r="E16" s="44"/>
      <c r="F16" s="1"/>
      <c r="G16" s="42"/>
      <c r="H16" s="44"/>
      <c r="I16" s="9"/>
    </row>
    <row r="17" spans="1:9" ht="21.6" thickBot="1">
      <c r="A17" s="1"/>
      <c r="B17" s="13" t="s">
        <v>256</v>
      </c>
      <c r="C17" s="42"/>
      <c r="D17" s="42"/>
      <c r="E17" s="40" t="str">
        <f>+Operacion!H81</f>
        <v>Seleccione Verificador</v>
      </c>
      <c r="F17" s="45"/>
      <c r="G17" s="42"/>
      <c r="H17" s="44"/>
      <c r="I17" s="9"/>
    </row>
    <row r="18" spans="1:9" ht="20.25" customHeight="1" thickBot="1">
      <c r="A18" s="1"/>
      <c r="B18" s="2"/>
      <c r="C18" s="42"/>
      <c r="D18" s="42"/>
      <c r="E18" s="44"/>
      <c r="F18" s="1"/>
      <c r="G18" s="42"/>
      <c r="H18" s="44"/>
      <c r="I18" s="9"/>
    </row>
    <row r="19" spans="1:9" ht="21.6" thickBot="1">
      <c r="A19" s="1"/>
      <c r="B19" s="13" t="s">
        <v>257</v>
      </c>
      <c r="C19" s="42"/>
      <c r="D19" s="42"/>
      <c r="E19" s="40" t="str">
        <f>+Operacion!K81</f>
        <v>Selección Operador</v>
      </c>
      <c r="F19" s="45"/>
      <c r="G19" s="42"/>
      <c r="H19" s="44"/>
      <c r="I19" s="9"/>
    </row>
    <row r="20" spans="1:9" ht="20.25" customHeight="1" thickBot="1">
      <c r="A20" s="1"/>
      <c r="B20" s="2"/>
      <c r="C20" s="42"/>
      <c r="D20" s="42"/>
      <c r="E20" s="44"/>
      <c r="F20" s="1"/>
      <c r="G20" s="42"/>
      <c r="H20" s="44"/>
      <c r="I20" s="9"/>
    </row>
    <row r="21" spans="1:9" ht="20.25" customHeight="1">
      <c r="A21" s="1"/>
      <c r="B21" s="13" t="s">
        <v>258</v>
      </c>
      <c r="C21" s="53"/>
      <c r="D21" s="53"/>
      <c r="E21" s="213">
        <f>+Operacion!H77</f>
        <v>0</v>
      </c>
      <c r="F21" s="214"/>
      <c r="G21" s="214"/>
      <c r="H21" s="215"/>
      <c r="I21" s="9"/>
    </row>
    <row r="22" spans="1:9" ht="20.25" customHeight="1">
      <c r="A22" s="1"/>
      <c r="B22" s="2"/>
      <c r="C22" s="2"/>
      <c r="D22" s="2"/>
      <c r="E22" s="216"/>
      <c r="F22" s="217"/>
      <c r="G22" s="217"/>
      <c r="H22" s="218"/>
      <c r="I22" s="9"/>
    </row>
    <row r="23" spans="1:9" ht="20.25" customHeight="1" thickBot="1">
      <c r="A23" s="1"/>
      <c r="B23" s="2"/>
      <c r="C23" s="54"/>
      <c r="D23" s="54"/>
      <c r="E23" s="219"/>
      <c r="F23" s="220"/>
      <c r="G23" s="220"/>
      <c r="H23" s="221"/>
      <c r="I23" s="9"/>
    </row>
    <row r="24" spans="1:9" ht="20.25" customHeight="1" thickBot="1">
      <c r="A24" s="1"/>
      <c r="B24" s="2"/>
      <c r="C24" s="42"/>
      <c r="D24" s="42"/>
      <c r="E24" s="43"/>
      <c r="F24" s="42"/>
      <c r="G24" s="42"/>
      <c r="H24" s="44"/>
      <c r="I24" s="9"/>
    </row>
    <row r="25" spans="1:9" ht="20.25" customHeight="1">
      <c r="A25" s="1"/>
      <c r="B25" s="13" t="s">
        <v>259</v>
      </c>
      <c r="C25" s="53"/>
      <c r="D25" s="53"/>
      <c r="E25" s="213">
        <f>+Operacion!H78</f>
        <v>0</v>
      </c>
      <c r="F25" s="214"/>
      <c r="G25" s="214"/>
      <c r="H25" s="215"/>
      <c r="I25" s="9"/>
    </row>
    <row r="26" spans="1:9" ht="20.25" customHeight="1" thickBot="1">
      <c r="A26" s="1"/>
      <c r="B26" s="6"/>
      <c r="C26" s="55"/>
      <c r="D26" s="55"/>
      <c r="E26" s="219">
        <f>+Operacion!L78</f>
        <v>0</v>
      </c>
      <c r="F26" s="220"/>
      <c r="G26" s="220"/>
      <c r="H26" s="221"/>
      <c r="I26" s="9"/>
    </row>
    <row r="27" spans="1:9" ht="20.25" customHeight="1" thickBot="1">
      <c r="A27" s="1"/>
      <c r="B27" s="6"/>
      <c r="C27" s="42"/>
      <c r="D27" s="42"/>
      <c r="E27" s="56"/>
      <c r="F27" s="55"/>
      <c r="G27" s="42"/>
      <c r="H27" s="44"/>
      <c r="I27" s="9"/>
    </row>
    <row r="28" spans="1:9" ht="20.25" customHeight="1">
      <c r="A28" s="1"/>
      <c r="B28" s="13" t="s">
        <v>243</v>
      </c>
      <c r="C28" s="53"/>
      <c r="D28" s="53"/>
      <c r="E28" s="213">
        <f>+Operacion!H79</f>
        <v>0</v>
      </c>
      <c r="F28" s="214"/>
      <c r="G28" s="214"/>
      <c r="H28" s="215"/>
      <c r="I28" s="9"/>
    </row>
    <row r="29" spans="1:9" ht="20.25" customHeight="1">
      <c r="A29" s="1"/>
      <c r="B29" s="2"/>
      <c r="C29" s="2"/>
      <c r="D29" s="2"/>
      <c r="E29" s="216"/>
      <c r="F29" s="217"/>
      <c r="G29" s="217"/>
      <c r="H29" s="218"/>
      <c r="I29" s="9"/>
    </row>
    <row r="30" spans="1:9" ht="20.25" customHeight="1" thickBot="1">
      <c r="A30" s="1"/>
      <c r="B30" s="2"/>
      <c r="C30" s="2"/>
      <c r="D30" s="2"/>
      <c r="E30" s="219"/>
      <c r="F30" s="220"/>
      <c r="G30" s="220"/>
      <c r="H30" s="221"/>
      <c r="I30" s="9"/>
    </row>
    <row r="31" spans="1:9" ht="20.25" customHeight="1" thickBot="1">
      <c r="A31" s="1"/>
      <c r="B31" s="6"/>
      <c r="C31" s="1"/>
      <c r="D31" s="1"/>
      <c r="E31" s="56"/>
      <c r="F31" s="55"/>
      <c r="G31" s="1"/>
      <c r="H31" s="44"/>
      <c r="I31" s="9"/>
    </row>
    <row r="32" spans="1:9" ht="20.25" customHeight="1">
      <c r="A32" s="1"/>
      <c r="B32" s="13" t="s">
        <v>259</v>
      </c>
      <c r="C32" s="53"/>
      <c r="D32" s="53"/>
      <c r="E32" s="213">
        <f>+Operacion!H80</f>
        <v>0</v>
      </c>
      <c r="F32" s="214"/>
      <c r="G32" s="214"/>
      <c r="H32" s="215"/>
      <c r="I32" s="9"/>
    </row>
    <row r="33" spans="1:9" ht="20.25" customHeight="1" thickBot="1">
      <c r="A33" s="1"/>
      <c r="B33" s="6"/>
      <c r="C33" s="55"/>
      <c r="D33" s="55"/>
      <c r="E33" s="219">
        <f>+Operacion!L80</f>
        <v>0</v>
      </c>
      <c r="F33" s="220"/>
      <c r="G33" s="220"/>
      <c r="H33" s="221"/>
      <c r="I33" s="9"/>
    </row>
    <row r="34" spans="1:9" ht="20.25" customHeight="1" thickBot="1">
      <c r="A34" s="1"/>
      <c r="B34" s="6"/>
      <c r="C34" s="42"/>
      <c r="D34" s="42"/>
      <c r="E34" s="56"/>
      <c r="F34" s="55"/>
      <c r="G34" s="42"/>
      <c r="H34" s="44"/>
      <c r="I34" s="9"/>
    </row>
    <row r="35" spans="1:9" ht="20.25" customHeight="1">
      <c r="A35" s="1"/>
      <c r="B35" s="13" t="s">
        <v>260</v>
      </c>
      <c r="C35" s="53"/>
      <c r="D35" s="53"/>
      <c r="E35" s="204"/>
      <c r="F35" s="205"/>
      <c r="G35" s="205"/>
      <c r="H35" s="206"/>
      <c r="I35" s="9"/>
    </row>
    <row r="36" spans="1:9" ht="20.25" customHeight="1">
      <c r="A36" s="1"/>
      <c r="B36" s="2"/>
      <c r="C36" s="54"/>
      <c r="D36" s="54"/>
      <c r="E36" s="207"/>
      <c r="F36" s="208"/>
      <c r="G36" s="208"/>
      <c r="H36" s="209"/>
      <c r="I36" s="9"/>
    </row>
    <row r="37" spans="1:9" ht="20.25" customHeight="1">
      <c r="A37" s="1"/>
      <c r="B37" s="2"/>
      <c r="C37" s="54"/>
      <c r="D37" s="54"/>
      <c r="E37" s="207"/>
      <c r="F37" s="208"/>
      <c r="G37" s="208"/>
      <c r="H37" s="209"/>
      <c r="I37" s="9"/>
    </row>
    <row r="38" spans="1:9" ht="20.25" customHeight="1" thickBot="1">
      <c r="A38" s="1"/>
      <c r="B38" s="2"/>
      <c r="C38" s="54"/>
      <c r="D38" s="54"/>
      <c r="E38" s="210"/>
      <c r="F38" s="211"/>
      <c r="G38" s="211"/>
      <c r="H38" s="212"/>
      <c r="I38" s="9"/>
    </row>
    <row r="39" spans="1:9">
      <c r="A39" s="1"/>
      <c r="B39" s="2"/>
      <c r="C39" s="42"/>
      <c r="D39" s="42"/>
      <c r="E39" s="43"/>
      <c r="F39" s="42"/>
      <c r="G39" s="42"/>
      <c r="H39" s="44"/>
      <c r="I39" s="9"/>
    </row>
    <row r="40" spans="1:9">
      <c r="C40" s="9"/>
      <c r="D40" s="9"/>
      <c r="E40" s="26"/>
      <c r="F40" s="9"/>
      <c r="G40" s="9"/>
      <c r="I40" s="9"/>
    </row>
    <row r="41" spans="1:9">
      <c r="C41" s="9"/>
      <c r="D41" s="9"/>
      <c r="E41" s="26"/>
      <c r="F41" s="9"/>
      <c r="G41" s="9"/>
      <c r="I41" s="9"/>
    </row>
    <row r="42" spans="1:9">
      <c r="C42" s="9"/>
      <c r="D42" s="9"/>
      <c r="E42" s="26"/>
      <c r="F42" s="9"/>
      <c r="G42" s="9"/>
      <c r="I42" s="9"/>
    </row>
    <row r="43" spans="1:9">
      <c r="C43" s="9"/>
      <c r="D43" s="9"/>
      <c r="E43" s="26"/>
      <c r="F43" s="9"/>
      <c r="G43" s="9"/>
      <c r="I43" s="9"/>
    </row>
  </sheetData>
  <sheetProtection algorithmName="SHA-512" hashValue="gwsZtEYd2wVf19060ADi8Z+WXosLA5SY95OjlDOfh9JYpxKdmMBjQtaPvwEEP7lYbxOHGf9dODixDZootyBTKQ==" saltValue="LpcvEW2Xl0aVCfGQmQ1Z6g==" spinCount="100000" sheet="1" objects="1" scenarios="1"/>
  <dataConsolidate/>
  <mergeCells count="8">
    <mergeCell ref="E35:H38"/>
    <mergeCell ref="I4:I5"/>
    <mergeCell ref="E25:H25"/>
    <mergeCell ref="E26:H26"/>
    <mergeCell ref="E32:H32"/>
    <mergeCell ref="E33:H33"/>
    <mergeCell ref="E21:H23"/>
    <mergeCell ref="E28:H30"/>
  </mergeCells>
  <pageMargins left="0.28000000000000003" right="0.12" top="0.64" bottom="1" header="0" footer="0"/>
  <pageSetup paperSize="9" scale="70" orientation="portrait" horizontalDpi="4294967293"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3">
    <tabColor rgb="FFFFC000"/>
  </sheetPr>
  <dimension ref="A1:M43"/>
  <sheetViews>
    <sheetView showGridLines="0" topLeftCell="B28" zoomScaleNormal="100" workbookViewId="0">
      <selection activeCell="E35" sqref="E35:H38"/>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+Operacion!G84</f>
        <v>Universal Cranes</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t="str">
        <f>+Operacion!H85</f>
        <v xml:space="preserve">PEALCO SA </v>
      </c>
      <c r="F4" s="49"/>
      <c r="G4" s="13" t="s">
        <v>251</v>
      </c>
      <c r="H4" s="50">
        <f>+Operacion!L85</f>
        <v>0.29166666666666669</v>
      </c>
      <c r="I4" s="266"/>
    </row>
    <row r="5" spans="2:13" ht="15.75" customHeight="1" thickBot="1">
      <c r="C5" s="42"/>
      <c r="D5" s="42"/>
      <c r="E5" s="43"/>
      <c r="F5" s="42"/>
      <c r="G5" s="42"/>
      <c r="I5" s="266"/>
    </row>
    <row r="6" spans="2:13" ht="26.45" thickBot="1">
      <c r="B6" s="13" t="s">
        <v>252</v>
      </c>
      <c r="D6" s="42"/>
      <c r="E6" s="37" t="str">
        <f>+Operacion!B85</f>
        <v>GDU402</v>
      </c>
      <c r="F6" s="20"/>
      <c r="G6" s="13" t="s">
        <v>239</v>
      </c>
      <c r="H6" s="23" t="str">
        <f>VLOOKUP(E6,tablaequipo,6)</f>
        <v>HELI</v>
      </c>
      <c r="I6" s="42"/>
    </row>
    <row r="7" spans="2:13" ht="15.75" customHeight="1">
      <c r="C7" s="42"/>
      <c r="D7" s="42"/>
      <c r="E7" s="23" t="str">
        <f>VLOOKUP(E6,tablaequipo,4)</f>
        <v>Autoelevador</v>
      </c>
      <c r="F7" s="20"/>
      <c r="G7" s="13" t="s">
        <v>240</v>
      </c>
      <c r="H7" s="24">
        <f>VLOOKUP(E6,tablaequipo,7)</f>
        <v>7500</v>
      </c>
      <c r="I7" s="42"/>
      <c r="M7" s="57"/>
    </row>
    <row r="8" spans="2:13" ht="15.75" customHeight="1" thickBot="1">
      <c r="C8" s="42"/>
      <c r="D8" s="42"/>
      <c r="E8" s="25">
        <f>VLOOKUP(E6,tablaequipo,5)</f>
        <v>7.5</v>
      </c>
      <c r="F8" s="20"/>
      <c r="G8" s="13" t="s">
        <v>241</v>
      </c>
      <c r="H8" s="25" t="str">
        <f>VLOOKUP(E6,tablaequipo,8)</f>
        <v>BTX 078</v>
      </c>
      <c r="I8" s="42"/>
      <c r="M8" s="57"/>
    </row>
    <row r="9" spans="2:13" ht="16.5" customHeight="1" thickBot="1">
      <c r="C9" s="42"/>
      <c r="D9" s="42"/>
      <c r="E9" s="45"/>
      <c r="F9" s="51"/>
      <c r="G9" s="42"/>
      <c r="I9" s="42"/>
      <c r="M9" s="57" t="s">
        <v>253</v>
      </c>
    </row>
    <row r="10" spans="2:13" ht="21.6" thickBot="1">
      <c r="B10" s="13" t="s">
        <v>254</v>
      </c>
      <c r="C10" s="42"/>
      <c r="D10" s="42"/>
      <c r="E10" s="38">
        <f>+Operacion!D85</f>
        <v>0</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f>+Operacion!D86</f>
        <v>0</v>
      </c>
      <c r="F13" s="45"/>
      <c r="G13" s="52">
        <v>4</v>
      </c>
      <c r="H13" s="38">
        <f>+Operacion!D89</f>
        <v>0</v>
      </c>
      <c r="I13" s="42"/>
    </row>
    <row r="14" spans="2:13" ht="20.25" customHeight="1" thickBot="1">
      <c r="C14" s="42"/>
      <c r="D14" s="52">
        <v>2</v>
      </c>
      <c r="E14" s="38">
        <f>+Operacion!D87</f>
        <v>0</v>
      </c>
      <c r="F14" s="45"/>
      <c r="G14" s="52">
        <v>5</v>
      </c>
      <c r="H14" s="38">
        <f>+Operacion!D90</f>
        <v>0</v>
      </c>
      <c r="I14" s="42"/>
    </row>
    <row r="15" spans="2:13" ht="20.25" customHeight="1" thickBot="1">
      <c r="C15" s="42"/>
      <c r="D15" s="52">
        <v>3</v>
      </c>
      <c r="E15" s="38">
        <f>+Operacion!D88</f>
        <v>0</v>
      </c>
      <c r="F15" s="45"/>
      <c r="G15" s="52">
        <v>6</v>
      </c>
      <c r="H15" s="38">
        <f>+Operacion!D91</f>
        <v>0</v>
      </c>
      <c r="I15" s="42"/>
    </row>
    <row r="16" spans="2:13" ht="20.25" customHeight="1" thickBot="1">
      <c r="C16" s="42"/>
      <c r="D16" s="42"/>
      <c r="G16" s="42"/>
      <c r="I16" s="42"/>
    </row>
    <row r="17" spans="2:9" ht="21.6" thickBot="1">
      <c r="B17" s="13" t="s">
        <v>256</v>
      </c>
      <c r="C17" s="42"/>
      <c r="D17" s="42"/>
      <c r="E17" s="40" t="str">
        <f>+Operacion!H90</f>
        <v>Seleccione Verificador</v>
      </c>
      <c r="F17" s="45"/>
      <c r="G17" s="42"/>
      <c r="I17" s="42"/>
    </row>
    <row r="18" spans="2:9" ht="20.25" customHeight="1" thickBot="1">
      <c r="C18" s="42"/>
      <c r="D18" s="42"/>
      <c r="G18" s="42"/>
      <c r="I18" s="42"/>
    </row>
    <row r="19" spans="2:9" ht="21.6" thickBot="1">
      <c r="B19" s="13" t="s">
        <v>257</v>
      </c>
      <c r="C19" s="42"/>
      <c r="D19" s="42"/>
      <c r="E19" s="40" t="str">
        <f>+Operacion!K90</f>
        <v>Recines Alejandro</v>
      </c>
      <c r="F19" s="45"/>
      <c r="G19" s="42"/>
      <c r="I19" s="42"/>
    </row>
    <row r="20" spans="2:9" ht="20.25" customHeight="1" thickBot="1">
      <c r="C20" s="42"/>
      <c r="D20" s="42"/>
      <c r="G20" s="42"/>
      <c r="I20" s="42"/>
    </row>
    <row r="21" spans="2:9" ht="20.25" customHeight="1">
      <c r="B21" s="13" t="s">
        <v>258</v>
      </c>
      <c r="C21" s="53"/>
      <c r="D21" s="53"/>
      <c r="E21" s="213" t="str">
        <f>+Operacion!H86</f>
        <v xml:space="preserve">TORTUGUITAS - VER UBICACIÓN </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t="str">
        <f>+Operacion!H87</f>
        <v xml:space="preserve">JOSE </v>
      </c>
      <c r="F25" s="214"/>
      <c r="G25" s="214"/>
      <c r="H25" s="215"/>
      <c r="I25" s="42"/>
    </row>
    <row r="26" spans="2:9" ht="20.25" customHeight="1" thickBot="1">
      <c r="B26" s="6"/>
      <c r="C26" s="55"/>
      <c r="D26" s="55"/>
      <c r="E26" s="219" t="str">
        <f>+Operacion!L87</f>
        <v>15-3903-0846</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+Operacion!H88</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+Operacion!H89</f>
        <v>0</v>
      </c>
      <c r="F32" s="214"/>
      <c r="G32" s="214"/>
      <c r="H32" s="215"/>
      <c r="I32" s="42"/>
    </row>
    <row r="33" spans="2:9" ht="20.25" customHeight="1" thickBot="1">
      <c r="B33" s="6"/>
      <c r="C33" s="55"/>
      <c r="D33" s="55"/>
      <c r="E33" s="219">
        <f>+Operacion!L89</f>
        <v>0</v>
      </c>
      <c r="F33" s="220"/>
      <c r="G33" s="220"/>
      <c r="H33" s="221"/>
      <c r="I33" s="42"/>
    </row>
    <row r="34" spans="2:9" ht="20.25" customHeight="1" thickBot="1">
      <c r="B34" s="6"/>
      <c r="C34" s="42"/>
      <c r="D34" s="42"/>
      <c r="E34" s="56"/>
      <c r="F34" s="55"/>
      <c r="G34" s="42"/>
      <c r="I34" s="42"/>
    </row>
    <row r="35" spans="2:9" ht="20.25" customHeight="1">
      <c r="B35" s="13" t="s">
        <v>260</v>
      </c>
      <c r="C35" s="53"/>
      <c r="D35" s="53"/>
      <c r="E35" s="204" t="s">
        <v>261</v>
      </c>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eEqAmrROmD0xcK5wocGsm6fkQq4y7VM833FFhio6e0L7sWuv+gM2kAKQ3U918BSbJWRnAWVSyd3yCKBk6KNDvA==" saltValue="NLSKa6hAqt8aA99lFQCOHg==" spinCount="100000" sheet="1" objects="1" scenarios="1"/>
  <dataConsolidate/>
  <mergeCells count="8">
    <mergeCell ref="E35:H38"/>
    <mergeCell ref="I4:I5"/>
    <mergeCell ref="E25:H25"/>
    <mergeCell ref="E26:H26"/>
    <mergeCell ref="E32:H32"/>
    <mergeCell ref="E33:H33"/>
    <mergeCell ref="E21:H23"/>
    <mergeCell ref="E28:H30"/>
  </mergeCells>
  <pageMargins left="0.28000000000000003" right="0.12" top="0.64" bottom="1" header="0" footer="0"/>
  <pageSetup paperSize="9" orientation="portrait" horizontalDpi="4294967293"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5">
    <tabColor rgb="FFFFC000"/>
  </sheetPr>
  <dimension ref="A1:M43"/>
  <sheetViews>
    <sheetView showGridLines="0" topLeftCell="B1" zoomScaleNormal="100" workbookViewId="0">
      <selection activeCell="E6" sqref="E6"/>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+Operacion!G93</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+Operacion!H94</f>
        <v>0</v>
      </c>
      <c r="F4" s="49"/>
      <c r="G4" s="13" t="s">
        <v>251</v>
      </c>
      <c r="H4" s="50">
        <f>+Operacion!L94</f>
        <v>0</v>
      </c>
      <c r="I4" s="266"/>
    </row>
    <row r="5" spans="2:13" ht="15.75" customHeight="1" thickBot="1">
      <c r="C5" s="42"/>
      <c r="D5" s="42"/>
      <c r="E5" s="43"/>
      <c r="F5" s="42"/>
      <c r="G5" s="42"/>
      <c r="I5" s="266"/>
    </row>
    <row r="6" spans="2:13" ht="26.45" thickBot="1">
      <c r="B6" s="13" t="s">
        <v>252</v>
      </c>
      <c r="D6" s="42"/>
      <c r="E6" s="37" t="str">
        <f>+Operacion!B94</f>
        <v>GDU403</v>
      </c>
      <c r="F6" s="20"/>
      <c r="G6" s="13" t="s">
        <v>239</v>
      </c>
      <c r="H6" s="23" t="str">
        <f>VLOOKUP(E6,tablaequipo,6)</f>
        <v>KOMATSU</v>
      </c>
      <c r="I6" s="42"/>
    </row>
    <row r="7" spans="2:13" ht="15.75" customHeight="1">
      <c r="C7" s="42"/>
      <c r="D7" s="42"/>
      <c r="E7" s="23" t="str">
        <f>VLOOKUP(E6,tablaequipo,4)</f>
        <v>Autoelevador</v>
      </c>
      <c r="F7" s="20"/>
      <c r="G7" s="13" t="s">
        <v>240</v>
      </c>
      <c r="H7" s="24">
        <f>VLOOKUP(E6,tablaequipo,7)</f>
        <v>5500</v>
      </c>
      <c r="I7" s="42"/>
      <c r="M7" s="57"/>
    </row>
    <row r="8" spans="2:13" ht="15.75" customHeight="1" thickBot="1">
      <c r="C8" s="42"/>
      <c r="D8" s="42"/>
      <c r="E8" s="25">
        <f>VLOOKUP(E6,tablaequipo,5)</f>
        <v>5.5</v>
      </c>
      <c r="F8" s="20"/>
      <c r="G8" s="13" t="s">
        <v>241</v>
      </c>
      <c r="H8" s="25" t="str">
        <f>VLOOKUP(E6,tablaequipo,8)</f>
        <v>-</v>
      </c>
      <c r="I8" s="42"/>
      <c r="M8" s="57"/>
    </row>
    <row r="9" spans="2:13" ht="16.5" customHeight="1" thickBot="1">
      <c r="C9" s="42"/>
      <c r="D9" s="42"/>
      <c r="E9" s="45"/>
      <c r="F9" s="51"/>
      <c r="G9" s="42"/>
      <c r="I9" s="42"/>
      <c r="M9" s="57" t="s">
        <v>253</v>
      </c>
    </row>
    <row r="10" spans="2:13" ht="21.6" thickBot="1">
      <c r="B10" s="13" t="s">
        <v>254</v>
      </c>
      <c r="C10" s="42"/>
      <c r="D10" s="42"/>
      <c r="E10" s="38" t="str">
        <f>+Operacion!D94</f>
        <v>Seleccione Chofer</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t="str">
        <f>+Operacion!D95</f>
        <v>Selección Acompanante</v>
      </c>
      <c r="F13" s="45"/>
      <c r="G13" s="52">
        <v>4</v>
      </c>
      <c r="H13" s="38" t="str">
        <f>+Operacion!D98</f>
        <v>Selección Acompanante</v>
      </c>
      <c r="I13" s="42"/>
    </row>
    <row r="14" spans="2:13" ht="20.25" customHeight="1" thickBot="1">
      <c r="C14" s="42"/>
      <c r="D14" s="52">
        <v>2</v>
      </c>
      <c r="E14" s="38" t="str">
        <f>+Operacion!D96</f>
        <v>Selección Acompanante</v>
      </c>
      <c r="F14" s="45"/>
      <c r="G14" s="52">
        <v>5</v>
      </c>
      <c r="H14" s="38" t="str">
        <f>+Operacion!D99</f>
        <v>Selección Acompanante</v>
      </c>
      <c r="I14" s="42"/>
    </row>
    <row r="15" spans="2:13" ht="20.25" customHeight="1" thickBot="1">
      <c r="C15" s="42"/>
      <c r="D15" s="52">
        <v>3</v>
      </c>
      <c r="E15" s="38" t="str">
        <f>+Operacion!D97</f>
        <v>Selección Acompanante</v>
      </c>
      <c r="F15" s="45"/>
      <c r="G15" s="52">
        <v>6</v>
      </c>
      <c r="H15" s="38" t="str">
        <f>+Operacion!D100</f>
        <v>Selección Acompanante</v>
      </c>
      <c r="I15" s="42"/>
    </row>
    <row r="16" spans="2:13" ht="20.25" customHeight="1" thickBot="1">
      <c r="C16" s="42"/>
      <c r="D16" s="42"/>
      <c r="G16" s="42"/>
      <c r="I16" s="42"/>
    </row>
    <row r="17" spans="2:9" ht="21.6" thickBot="1">
      <c r="B17" s="13" t="s">
        <v>256</v>
      </c>
      <c r="C17" s="42"/>
      <c r="D17" s="42"/>
      <c r="E17" s="40" t="str">
        <f>+Operacion!H99</f>
        <v>Seleccione Verificador</v>
      </c>
      <c r="F17" s="45"/>
      <c r="G17" s="42"/>
      <c r="I17" s="42"/>
    </row>
    <row r="18" spans="2:9" ht="20.25" customHeight="1" thickBot="1">
      <c r="C18" s="42"/>
      <c r="D18" s="42"/>
      <c r="G18" s="42"/>
      <c r="I18" s="42"/>
    </row>
    <row r="19" spans="2:9" ht="21.6" thickBot="1">
      <c r="B19" s="13" t="s">
        <v>257</v>
      </c>
      <c r="C19" s="42"/>
      <c r="D19" s="42"/>
      <c r="E19" s="40" t="str">
        <f>+Operacion!K99</f>
        <v>Selección Operador</v>
      </c>
      <c r="F19" s="45"/>
      <c r="G19" s="42"/>
      <c r="I19" s="42"/>
    </row>
    <row r="20" spans="2:9" ht="20.25" customHeight="1" thickBot="1">
      <c r="C20" s="42"/>
      <c r="D20" s="42"/>
      <c r="G20" s="42"/>
      <c r="I20" s="42"/>
    </row>
    <row r="21" spans="2:9" ht="20.25" customHeight="1">
      <c r="B21" s="13" t="s">
        <v>258</v>
      </c>
      <c r="C21" s="53"/>
      <c r="D21" s="53"/>
      <c r="E21" s="213">
        <f>+Operacion!H95</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+Operacion!H96</f>
        <v>0</v>
      </c>
      <c r="F25" s="214"/>
      <c r="G25" s="214"/>
      <c r="H25" s="215"/>
      <c r="I25" s="42"/>
    </row>
    <row r="26" spans="2:9" ht="20.25" customHeight="1" thickBot="1">
      <c r="B26" s="6"/>
      <c r="C26" s="55"/>
      <c r="D26" s="55"/>
      <c r="E26" s="219">
        <f>+Operacion!L96</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+Operacion!H97</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+Operacion!H98</f>
        <v>0</v>
      </c>
      <c r="F32" s="214"/>
      <c r="G32" s="214"/>
      <c r="H32" s="215"/>
      <c r="I32" s="42"/>
    </row>
    <row r="33" spans="2:9" ht="20.25" customHeight="1" thickBot="1">
      <c r="B33" s="6"/>
      <c r="C33" s="55"/>
      <c r="D33" s="55"/>
      <c r="E33" s="219">
        <f>+Operacion!L98</f>
        <v>0</v>
      </c>
      <c r="F33" s="220"/>
      <c r="G33" s="220"/>
      <c r="H33" s="221"/>
      <c r="I33" s="42"/>
    </row>
    <row r="34" spans="2:9" ht="20.25" customHeight="1" thickBot="1">
      <c r="B34" s="6"/>
      <c r="C34" s="42"/>
      <c r="D34" s="42"/>
      <c r="E34" s="56"/>
      <c r="F34" s="55"/>
      <c r="G34" s="42"/>
      <c r="I34" s="42"/>
    </row>
    <row r="35" spans="2:9" ht="20.25" customHeight="1">
      <c r="B35" s="13" t="s">
        <v>260</v>
      </c>
      <c r="C35" s="53"/>
      <c r="D35" s="53"/>
      <c r="E35" s="204" t="s">
        <v>261</v>
      </c>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bLlz8yqDlZR4JSYt5qw37X2UZKij7ioikrQVdTDwR+7fBYMJ+/rgFDL1qvpkUPUQuBfNjK0PorzKL2HbHp7Z6Q==" saltValue="ysQYYyuWZQQYR4bBL859ow==" spinCount="100000" sheet="1" objects="1" scenarios="1"/>
  <dataConsolidate/>
  <mergeCells count="8">
    <mergeCell ref="E35:H38"/>
    <mergeCell ref="I4:I5"/>
    <mergeCell ref="E25:H25"/>
    <mergeCell ref="E26:H26"/>
    <mergeCell ref="E32:H32"/>
    <mergeCell ref="E33:H33"/>
    <mergeCell ref="E21:H23"/>
    <mergeCell ref="E28:H30"/>
  </mergeCells>
  <pageMargins left="0.28000000000000003" right="0.12" top="0.64" bottom="1" header="0" footer="0"/>
  <pageSetup paperSize="9" orientation="portrait" horizontalDpi="4294967293"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tabColor rgb="FFFFC000"/>
  </sheetPr>
  <dimension ref="A1:M43"/>
  <sheetViews>
    <sheetView showGridLines="0" topLeftCell="B1" zoomScaleNormal="100" workbookViewId="0">
      <selection activeCell="E28" sqref="E28:H30"/>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+Operacion!G102</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+Operacion!H103</f>
        <v>0</v>
      </c>
      <c r="F4" s="49"/>
      <c r="G4" s="13" t="s">
        <v>251</v>
      </c>
      <c r="H4" s="50">
        <f>+Operacion!L103</f>
        <v>0</v>
      </c>
      <c r="I4" s="266"/>
    </row>
    <row r="5" spans="2:13" ht="15.75" customHeight="1" thickBot="1">
      <c r="C5" s="42"/>
      <c r="D5" s="42"/>
      <c r="E5" s="43"/>
      <c r="F5" s="42"/>
      <c r="G5" s="42"/>
      <c r="I5" s="266"/>
    </row>
    <row r="6" spans="2:13" ht="26.45" thickBot="1">
      <c r="B6" s="13" t="s">
        <v>252</v>
      </c>
      <c r="D6" s="42"/>
      <c r="E6" s="37" t="str">
        <f>+Operacion!B103</f>
        <v>GDU404</v>
      </c>
      <c r="F6" s="20"/>
      <c r="G6" s="13" t="s">
        <v>239</v>
      </c>
      <c r="H6" s="23" t="str">
        <f>VLOOKUP(E6,tablaequipo,6)</f>
        <v>HYUNDAI</v>
      </c>
      <c r="I6" s="42"/>
    </row>
    <row r="7" spans="2:13" ht="15.75" customHeight="1">
      <c r="C7" s="42"/>
      <c r="D7" s="42"/>
      <c r="E7" s="23" t="str">
        <f>VLOOKUP(E6,tablaequipo,4)</f>
        <v>Autoelevador</v>
      </c>
      <c r="F7" s="20"/>
      <c r="G7" s="13" t="s">
        <v>240</v>
      </c>
      <c r="H7" s="24" t="str">
        <f>VLOOKUP(E6,tablaequipo,7)</f>
        <v>DD 30 E</v>
      </c>
      <c r="I7" s="42"/>
      <c r="M7" s="57"/>
    </row>
    <row r="8" spans="2:13" ht="15.75" customHeight="1" thickBot="1">
      <c r="C8" s="42"/>
      <c r="D8" s="42"/>
      <c r="E8" s="25">
        <f>VLOOKUP(E6,tablaequipo,5)</f>
        <v>3</v>
      </c>
      <c r="F8" s="20"/>
      <c r="G8" s="13" t="s">
        <v>241</v>
      </c>
      <c r="H8" s="25" t="str">
        <f>VLOOKUP(E6,tablaequipo,8)</f>
        <v>-</v>
      </c>
      <c r="I8" s="42"/>
      <c r="M8" s="57"/>
    </row>
    <row r="9" spans="2:13" ht="16.5" customHeight="1" thickBot="1">
      <c r="C9" s="42"/>
      <c r="D9" s="42"/>
      <c r="E9" s="45"/>
      <c r="F9" s="51"/>
      <c r="G9" s="42"/>
      <c r="I9" s="42"/>
      <c r="M9" s="57" t="s">
        <v>253</v>
      </c>
    </row>
    <row r="10" spans="2:13" ht="21.6" thickBot="1">
      <c r="B10" s="13" t="s">
        <v>254</v>
      </c>
      <c r="C10" s="42"/>
      <c r="D10" s="42"/>
      <c r="E10" s="38" t="str">
        <f>+Operacion!D103</f>
        <v>Seleccione Chofer</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t="str">
        <f>+Operacion!D104</f>
        <v>Selección Acompanante</v>
      </c>
      <c r="F13" s="45"/>
      <c r="G13" s="52">
        <v>4</v>
      </c>
      <c r="H13" s="38" t="str">
        <f>+Operacion!D107</f>
        <v>Selección Acompanante</v>
      </c>
      <c r="I13" s="42"/>
    </row>
    <row r="14" spans="2:13" ht="20.25" customHeight="1" thickBot="1">
      <c r="C14" s="42"/>
      <c r="D14" s="52">
        <v>2</v>
      </c>
      <c r="E14" s="38" t="str">
        <f>+Operacion!D105</f>
        <v>Selección Acompanante</v>
      </c>
      <c r="F14" s="45"/>
      <c r="G14" s="52">
        <v>5</v>
      </c>
      <c r="H14" s="38" t="str">
        <f>+Operacion!D108</f>
        <v>Selección Acompanante</v>
      </c>
      <c r="I14" s="42"/>
    </row>
    <row r="15" spans="2:13" ht="20.25" customHeight="1" thickBot="1">
      <c r="C15" s="42"/>
      <c r="D15" s="52">
        <v>3</v>
      </c>
      <c r="E15" s="38" t="str">
        <f>+Operacion!D106</f>
        <v>Selección Acompanante</v>
      </c>
      <c r="F15" s="45"/>
      <c r="G15" s="52">
        <v>6</v>
      </c>
      <c r="H15" s="38" t="str">
        <f>+Operacion!D109</f>
        <v>Selección Acompanante</v>
      </c>
      <c r="I15" s="42"/>
    </row>
    <row r="16" spans="2:13" ht="20.25" customHeight="1" thickBot="1">
      <c r="C16" s="42"/>
      <c r="D16" s="42"/>
      <c r="G16" s="42"/>
      <c r="I16" s="42"/>
    </row>
    <row r="17" spans="2:9" ht="21.6" thickBot="1">
      <c r="B17" s="13" t="s">
        <v>256</v>
      </c>
      <c r="C17" s="42"/>
      <c r="D17" s="42"/>
      <c r="E17" s="40" t="e">
        <f>+Operacion!#REF!</f>
        <v>#REF!</v>
      </c>
      <c r="F17" s="45"/>
      <c r="G17" s="42"/>
      <c r="I17" s="42"/>
    </row>
    <row r="18" spans="2:9" ht="20.25" customHeight="1" thickBot="1">
      <c r="C18" s="42"/>
      <c r="D18" s="42"/>
      <c r="G18" s="42"/>
      <c r="I18" s="42"/>
    </row>
    <row r="19" spans="2:9" ht="21.6" thickBot="1">
      <c r="B19" s="13" t="s">
        <v>257</v>
      </c>
      <c r="C19" s="42"/>
      <c r="D19" s="42"/>
      <c r="E19" s="40" t="e">
        <f>+Operacion!#REF!</f>
        <v>#REF!</v>
      </c>
      <c r="F19" s="45"/>
      <c r="G19" s="42"/>
      <c r="I19" s="42"/>
    </row>
    <row r="20" spans="2:9" ht="20.25" customHeight="1" thickBot="1">
      <c r="C20" s="42"/>
      <c r="D20" s="42"/>
      <c r="G20" s="42"/>
      <c r="I20" s="42"/>
    </row>
    <row r="21" spans="2:9" ht="20.25" customHeight="1">
      <c r="B21" s="13" t="s">
        <v>258</v>
      </c>
      <c r="C21" s="53"/>
      <c r="D21" s="53"/>
      <c r="E21" s="213">
        <f>+Operacion!H104</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+Operacion!H105</f>
        <v>0</v>
      </c>
      <c r="F25" s="214"/>
      <c r="G25" s="214"/>
      <c r="H25" s="215"/>
      <c r="I25" s="42"/>
    </row>
    <row r="26" spans="2:9" ht="20.25" customHeight="1" thickBot="1">
      <c r="B26" s="6"/>
      <c r="C26" s="55"/>
      <c r="D26" s="55"/>
      <c r="E26" s="219">
        <f>+Operacion!L105</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+Operacion!H106</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+Operacion!H107</f>
        <v>0</v>
      </c>
      <c r="F32" s="214"/>
      <c r="G32" s="214"/>
      <c r="H32" s="215"/>
      <c r="I32" s="42"/>
    </row>
    <row r="33" spans="2:9" ht="20.25" customHeight="1" thickBot="1">
      <c r="B33" s="6"/>
      <c r="C33" s="55"/>
      <c r="D33" s="55"/>
      <c r="E33" s="219">
        <f>+Operacion!L107</f>
        <v>0</v>
      </c>
      <c r="F33" s="220"/>
      <c r="G33" s="220"/>
      <c r="H33" s="221"/>
      <c r="I33" s="42"/>
    </row>
    <row r="34" spans="2:9" ht="20.25" customHeight="1" thickBot="1">
      <c r="B34" s="6"/>
      <c r="C34" s="42"/>
      <c r="D34" s="42"/>
      <c r="E34" s="56"/>
      <c r="F34" s="55"/>
      <c r="G34" s="42"/>
      <c r="I34" s="42"/>
    </row>
    <row r="35" spans="2:9" ht="20.25" customHeight="1">
      <c r="B35" s="13" t="s">
        <v>260</v>
      </c>
      <c r="C35" s="53"/>
      <c r="D35" s="53"/>
      <c r="E35" s="204" t="s">
        <v>261</v>
      </c>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lbBPO4l2vTIxSl3DTas8b6wnxUcqJpiGDWWLDxsm7B7I6GDk3uMnLU9QTmgejXweXwP6jr9EZbM/LtiYun/Yrw==" saltValue="xLX7x1YWOEesqj/+KUGwug==" spinCount="100000" sheet="1" objects="1" scenarios="1"/>
  <dataConsolidate/>
  <mergeCells count="8">
    <mergeCell ref="E35:H38"/>
    <mergeCell ref="I4:I5"/>
    <mergeCell ref="E25:H25"/>
    <mergeCell ref="E26:H26"/>
    <mergeCell ref="E32:H32"/>
    <mergeCell ref="E33:H33"/>
    <mergeCell ref="E21:H23"/>
    <mergeCell ref="E28:H30"/>
  </mergeCells>
  <pageMargins left="0.28000000000000003" right="0.12" top="0.64" bottom="1" header="0" footer="0"/>
  <pageSetup paperSize="9" orientation="portrait" horizontalDpi="4294967293"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41">
    <tabColor rgb="FFFFC000"/>
  </sheetPr>
  <dimension ref="A1:M43"/>
  <sheetViews>
    <sheetView showGridLines="0" topLeftCell="B1" zoomScaleNormal="100" workbookViewId="0">
      <selection activeCell="E35" sqref="E35:H38"/>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+Operacion!G111</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+Operacion!H112</f>
        <v>0</v>
      </c>
      <c r="F4" s="49"/>
      <c r="G4" s="13" t="s">
        <v>251</v>
      </c>
      <c r="H4" s="50">
        <f>+Operacion!L112</f>
        <v>0</v>
      </c>
      <c r="I4" s="266"/>
    </row>
    <row r="5" spans="2:13" ht="15.75" customHeight="1" thickBot="1">
      <c r="C5" s="42"/>
      <c r="D5" s="42"/>
      <c r="E5" s="43"/>
      <c r="F5" s="42"/>
      <c r="G5" s="42"/>
      <c r="I5" s="266"/>
    </row>
    <row r="6" spans="2:13" ht="26.45" thickBot="1">
      <c r="B6" s="13" t="s">
        <v>252</v>
      </c>
      <c r="D6" s="42"/>
      <c r="E6" s="37" t="str">
        <f>+Operacion!B112</f>
        <v>GDU405</v>
      </c>
      <c r="F6" s="20"/>
      <c r="G6" s="13" t="s">
        <v>239</v>
      </c>
      <c r="H6" s="23" t="str">
        <f>VLOOKUP(E6,tablaequipo,6)</f>
        <v>SINOBANG</v>
      </c>
      <c r="I6" s="42"/>
    </row>
    <row r="7" spans="2:13" ht="15.75" customHeight="1">
      <c r="C7" s="42"/>
      <c r="D7" s="42"/>
      <c r="E7" s="23" t="str">
        <f>VLOOKUP(E6,tablaequipo,4)</f>
        <v>Autoelevador</v>
      </c>
      <c r="F7" s="20"/>
      <c r="G7" s="13" t="s">
        <v>240</v>
      </c>
      <c r="H7" s="24" t="str">
        <f>VLOOKUP(E6,tablaequipo,7)</f>
        <v>CPCD 70</v>
      </c>
      <c r="I7" s="42"/>
      <c r="M7" s="57"/>
    </row>
    <row r="8" spans="2:13" ht="15.75" customHeight="1" thickBot="1">
      <c r="C8" s="42"/>
      <c r="D8" s="42"/>
      <c r="E8" s="25">
        <f>VLOOKUP(E6,tablaequipo,5)</f>
        <v>7</v>
      </c>
      <c r="F8" s="20"/>
      <c r="G8" s="13" t="s">
        <v>241</v>
      </c>
      <c r="H8" s="25">
        <f>VLOOKUP(E6,tablaequipo,8)</f>
        <v>0</v>
      </c>
      <c r="I8" s="42"/>
      <c r="M8" s="57"/>
    </row>
    <row r="9" spans="2:13" ht="16.5" customHeight="1" thickBot="1">
      <c r="C9" s="42"/>
      <c r="D9" s="42"/>
      <c r="E9" s="45"/>
      <c r="F9" s="51"/>
      <c r="G9" s="42"/>
      <c r="I9" s="42"/>
      <c r="M9" s="57" t="s">
        <v>253</v>
      </c>
    </row>
    <row r="10" spans="2:13" ht="21.6" thickBot="1">
      <c r="B10" s="13" t="s">
        <v>254</v>
      </c>
      <c r="C10" s="42"/>
      <c r="D10" s="42"/>
      <c r="E10" s="38" t="str">
        <f>+Operacion!D112</f>
        <v>Seleccione Chofer</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t="str">
        <f>+Operacion!D113</f>
        <v>Selección Acompanante</v>
      </c>
      <c r="F13" s="45"/>
      <c r="G13" s="52">
        <v>4</v>
      </c>
      <c r="H13" s="38" t="str">
        <f>+Operacion!D116</f>
        <v>Selección Acompanante</v>
      </c>
      <c r="I13" s="42"/>
    </row>
    <row r="14" spans="2:13" ht="20.25" customHeight="1" thickBot="1">
      <c r="C14" s="42"/>
      <c r="D14" s="52">
        <v>2</v>
      </c>
      <c r="E14" s="38" t="str">
        <f>+Operacion!D114</f>
        <v>Selección Acompanante</v>
      </c>
      <c r="F14" s="45"/>
      <c r="G14" s="52">
        <v>5</v>
      </c>
      <c r="H14" s="38" t="str">
        <f>+Operacion!D117</f>
        <v>Selección Acompanante</v>
      </c>
      <c r="I14" s="42"/>
    </row>
    <row r="15" spans="2:13" ht="20.25" customHeight="1" thickBot="1">
      <c r="C15" s="42"/>
      <c r="D15" s="52">
        <v>3</v>
      </c>
      <c r="E15" s="38" t="str">
        <f>+Operacion!D115</f>
        <v>Selección Acompanante</v>
      </c>
      <c r="F15" s="45"/>
      <c r="G15" s="52">
        <v>6</v>
      </c>
      <c r="H15" s="38" t="str">
        <f>+Operacion!D118</f>
        <v>Selección Acompanante</v>
      </c>
      <c r="I15" s="42"/>
    </row>
    <row r="16" spans="2:13" ht="20.25" customHeight="1" thickBot="1">
      <c r="C16" s="42"/>
      <c r="D16" s="42"/>
      <c r="G16" s="42"/>
      <c r="I16" s="42"/>
    </row>
    <row r="17" spans="2:9" ht="21.6" thickBot="1">
      <c r="B17" s="13" t="s">
        <v>256</v>
      </c>
      <c r="C17" s="42"/>
      <c r="D17" s="42"/>
      <c r="E17" s="40" t="str">
        <f>+Operacion!H117</f>
        <v>Seleccione Verificador</v>
      </c>
      <c r="F17" s="45"/>
      <c r="G17" s="42"/>
      <c r="I17" s="42"/>
    </row>
    <row r="18" spans="2:9" ht="20.25" customHeight="1" thickBot="1">
      <c r="C18" s="42"/>
      <c r="D18" s="42"/>
      <c r="G18" s="42"/>
      <c r="I18" s="42"/>
    </row>
    <row r="19" spans="2:9" ht="21.6" thickBot="1">
      <c r="B19" s="13" t="s">
        <v>257</v>
      </c>
      <c r="C19" s="42"/>
      <c r="D19" s="42"/>
      <c r="E19" s="40" t="str">
        <f>+Operacion!K117</f>
        <v>Selección Operador</v>
      </c>
      <c r="F19" s="45"/>
      <c r="G19" s="42"/>
      <c r="I19" s="42"/>
    </row>
    <row r="20" spans="2:9" ht="20.25" customHeight="1" thickBot="1">
      <c r="C20" s="42"/>
      <c r="D20" s="42"/>
      <c r="G20" s="42"/>
      <c r="I20" s="42"/>
    </row>
    <row r="21" spans="2:9" ht="20.25" customHeight="1">
      <c r="B21" s="13" t="s">
        <v>258</v>
      </c>
      <c r="C21" s="53"/>
      <c r="D21" s="53"/>
      <c r="E21" s="213">
        <f>+Operacion!H113</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+Operacion!H114</f>
        <v>0</v>
      </c>
      <c r="F25" s="214"/>
      <c r="G25" s="214"/>
      <c r="H25" s="215"/>
      <c r="I25" s="42"/>
    </row>
    <row r="26" spans="2:9" ht="20.25" customHeight="1" thickBot="1">
      <c r="B26" s="6"/>
      <c r="C26" s="55"/>
      <c r="D26" s="55"/>
      <c r="E26" s="219">
        <f>+Operacion!L114</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+Operacion!H115</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+Operacion!H116</f>
        <v>0</v>
      </c>
      <c r="F32" s="214"/>
      <c r="G32" s="214"/>
      <c r="H32" s="215"/>
      <c r="I32" s="42"/>
    </row>
    <row r="33" spans="2:9" ht="20.25" customHeight="1" thickBot="1">
      <c r="B33" s="6"/>
      <c r="C33" s="55"/>
      <c r="D33" s="55"/>
      <c r="E33" s="219">
        <f>+Operacion!L116</f>
        <v>0</v>
      </c>
      <c r="F33" s="220"/>
      <c r="G33" s="220"/>
      <c r="H33" s="221"/>
      <c r="I33" s="42"/>
    </row>
    <row r="34" spans="2:9" ht="20.25" customHeight="1" thickBot="1">
      <c r="B34" s="6"/>
      <c r="C34" s="42"/>
      <c r="D34" s="42"/>
      <c r="E34" s="56"/>
      <c r="F34" s="55"/>
      <c r="G34" s="42"/>
      <c r="I34" s="42"/>
    </row>
    <row r="35" spans="2:9" ht="20.25" customHeight="1">
      <c r="B35" s="13" t="s">
        <v>260</v>
      </c>
      <c r="C35" s="53"/>
      <c r="D35" s="53"/>
      <c r="E35" s="204" t="s">
        <v>261</v>
      </c>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TxkXx2k75baVFusR8eSqRNQBYy/4O57fGqImEgqgfDdj7kaRvRpqTpXAGpm9tZPMr+SfjXsplI86CYY0Rj7GEw==" saltValue="ZLLsYIyCaE6uOfjkkg2L1g==" spinCount="100000" sheet="1" objects="1" scenarios="1"/>
  <dataConsolidate/>
  <mergeCells count="8">
    <mergeCell ref="E33:H33"/>
    <mergeCell ref="E35:H38"/>
    <mergeCell ref="I4:I5"/>
    <mergeCell ref="E21:H23"/>
    <mergeCell ref="E25:H25"/>
    <mergeCell ref="E26:H26"/>
    <mergeCell ref="E28:H30"/>
    <mergeCell ref="E32:H32"/>
  </mergeCells>
  <pageMargins left="0.28000000000000003" right="0.12" top="0.64" bottom="1" header="0" footer="0"/>
  <pageSetup paperSize="9" orientation="portrait" horizontalDpi="4294967293"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
    <tabColor rgb="FFFFC000"/>
    <pageSetUpPr fitToPage="1"/>
  </sheetPr>
  <dimension ref="A1:M43"/>
  <sheetViews>
    <sheetView showGridLines="0" topLeftCell="B13" zoomScaleNormal="100" workbookViewId="0">
      <selection activeCell="E35" sqref="E35:H38"/>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+Operacion!G120</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+Operacion!H121</f>
        <v>0</v>
      </c>
      <c r="F4" s="49"/>
      <c r="G4" s="13" t="s">
        <v>251</v>
      </c>
      <c r="H4" s="50">
        <f>+Operacion!L121</f>
        <v>0</v>
      </c>
      <c r="I4" s="266"/>
    </row>
    <row r="5" spans="2:13" ht="15.75" customHeight="1" thickBot="1">
      <c r="C5" s="42"/>
      <c r="D5" s="42"/>
      <c r="E5" s="43"/>
      <c r="F5" s="42"/>
      <c r="G5" s="42"/>
      <c r="I5" s="266"/>
    </row>
    <row r="6" spans="2:13" ht="26.45" thickBot="1">
      <c r="B6" s="13" t="s">
        <v>252</v>
      </c>
      <c r="D6" s="42"/>
      <c r="E6" s="37" t="str">
        <f>+Operacion!B121</f>
        <v>GDU406</v>
      </c>
      <c r="F6" s="20"/>
      <c r="G6" s="13" t="s">
        <v>239</v>
      </c>
      <c r="H6" s="23" t="str">
        <f>VLOOKUP(E6,tablaequipo,6)</f>
        <v>SINOBANG</v>
      </c>
      <c r="I6" s="42"/>
    </row>
    <row r="7" spans="2:13" ht="15.75" customHeight="1">
      <c r="C7" s="42"/>
      <c r="D7" s="42"/>
      <c r="E7" s="23" t="str">
        <f>VLOOKUP(E6,tablaequipo,4)</f>
        <v>Autoelevador</v>
      </c>
      <c r="F7" s="20"/>
      <c r="G7" s="13" t="s">
        <v>240</v>
      </c>
      <c r="H7" s="24" t="str">
        <f>VLOOKUP(E6,tablaequipo,7)</f>
        <v>CPCD 25</v>
      </c>
      <c r="I7" s="42"/>
      <c r="M7" s="57"/>
    </row>
    <row r="8" spans="2:13" ht="15.75" customHeight="1" thickBot="1">
      <c r="C8" s="42"/>
      <c r="D8" s="42"/>
      <c r="E8" s="25">
        <f>VLOOKUP(E6,tablaequipo,5)</f>
        <v>2.5</v>
      </c>
      <c r="F8" s="20"/>
      <c r="G8" s="13" t="s">
        <v>241</v>
      </c>
      <c r="H8" s="25">
        <f>VLOOKUP(E6,tablaequipo,8)</f>
        <v>0</v>
      </c>
      <c r="I8" s="42"/>
      <c r="M8" s="57"/>
    </row>
    <row r="9" spans="2:13" ht="16.5" customHeight="1" thickBot="1">
      <c r="C9" s="42"/>
      <c r="D9" s="42"/>
      <c r="E9" s="45"/>
      <c r="F9" s="51"/>
      <c r="G9" s="42"/>
      <c r="I9" s="42"/>
      <c r="M9" s="57" t="s">
        <v>253</v>
      </c>
    </row>
    <row r="10" spans="2:13" ht="21.6" thickBot="1">
      <c r="B10" s="13" t="s">
        <v>254</v>
      </c>
      <c r="C10" s="42"/>
      <c r="D10" s="42"/>
      <c r="E10" s="38" t="str">
        <f>+Operacion!D121</f>
        <v>Seleccione Chofer</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t="str">
        <f>+Operacion!D122</f>
        <v>Selección Acompanante</v>
      </c>
      <c r="F13" s="45"/>
      <c r="G13" s="52">
        <v>4</v>
      </c>
      <c r="H13" s="38" t="str">
        <f>+Operacion!D125</f>
        <v>Selección Acompanante</v>
      </c>
      <c r="I13" s="42"/>
    </row>
    <row r="14" spans="2:13" ht="20.25" customHeight="1" thickBot="1">
      <c r="C14" s="42"/>
      <c r="D14" s="52">
        <v>2</v>
      </c>
      <c r="E14" s="38" t="str">
        <f>+Operacion!D123</f>
        <v>Selección Acompanante</v>
      </c>
      <c r="F14" s="45"/>
      <c r="G14" s="52">
        <v>5</v>
      </c>
      <c r="H14" s="38" t="str">
        <f>+Operacion!D126</f>
        <v>Selección Acompanante</v>
      </c>
      <c r="I14" s="42"/>
    </row>
    <row r="15" spans="2:13" ht="20.25" customHeight="1" thickBot="1">
      <c r="C15" s="42"/>
      <c r="D15" s="52">
        <v>3</v>
      </c>
      <c r="E15" s="38" t="str">
        <f>+Operacion!D124</f>
        <v>Selección Acompanante</v>
      </c>
      <c r="F15" s="45"/>
      <c r="G15" s="52">
        <v>6</v>
      </c>
      <c r="H15" s="38" t="str">
        <f>+Operacion!D127</f>
        <v>Selección Acompanante</v>
      </c>
      <c r="I15" s="42"/>
    </row>
    <row r="16" spans="2:13" ht="20.25" customHeight="1" thickBot="1">
      <c r="C16" s="42"/>
      <c r="D16" s="42"/>
      <c r="G16" s="42"/>
      <c r="I16" s="42"/>
    </row>
    <row r="17" spans="2:9" ht="21.6" thickBot="1">
      <c r="B17" s="13" t="s">
        <v>256</v>
      </c>
      <c r="C17" s="42"/>
      <c r="D17" s="42"/>
      <c r="E17" s="40" t="e">
        <f>+Operacion!#REF!</f>
        <v>#REF!</v>
      </c>
      <c r="F17" s="45"/>
      <c r="G17" s="42"/>
      <c r="I17" s="42"/>
    </row>
    <row r="18" spans="2:9" ht="20.25" customHeight="1" thickBot="1">
      <c r="C18" s="42"/>
      <c r="D18" s="42"/>
      <c r="G18" s="42"/>
      <c r="I18" s="42"/>
    </row>
    <row r="19" spans="2:9" ht="21.6" thickBot="1">
      <c r="B19" s="13" t="s">
        <v>257</v>
      </c>
      <c r="C19" s="42"/>
      <c r="D19" s="42"/>
      <c r="E19" s="40" t="e">
        <f>+Operacion!#REF!</f>
        <v>#REF!</v>
      </c>
      <c r="F19" s="45"/>
      <c r="G19" s="42"/>
      <c r="I19" s="42"/>
    </row>
    <row r="20" spans="2:9" ht="20.25" customHeight="1" thickBot="1">
      <c r="C20" s="42"/>
      <c r="D20" s="42"/>
      <c r="G20" s="42"/>
      <c r="I20" s="42"/>
    </row>
    <row r="21" spans="2:9" ht="20.25" customHeight="1">
      <c r="B21" s="13" t="s">
        <v>258</v>
      </c>
      <c r="C21" s="53"/>
      <c r="D21" s="53"/>
      <c r="E21" s="213">
        <f>+Operacion!H122</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+Operacion!H123</f>
        <v>0</v>
      </c>
      <c r="F25" s="214"/>
      <c r="G25" s="214"/>
      <c r="H25" s="215"/>
      <c r="I25" s="42"/>
    </row>
    <row r="26" spans="2:9" ht="20.25" customHeight="1" thickBot="1">
      <c r="B26" s="6"/>
      <c r="C26" s="55"/>
      <c r="D26" s="55"/>
      <c r="E26" s="219">
        <f>+Operacion!L123</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+Operacion!H124</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+Operacion!H125</f>
        <v>0</v>
      </c>
      <c r="F32" s="214"/>
      <c r="G32" s="214"/>
      <c r="H32" s="215"/>
      <c r="I32" s="42"/>
    </row>
    <row r="33" spans="2:9" ht="20.25" customHeight="1" thickBot="1">
      <c r="B33" s="6"/>
      <c r="C33" s="55"/>
      <c r="D33" s="55"/>
      <c r="E33" s="219">
        <f>+Operacion!L125</f>
        <v>0</v>
      </c>
      <c r="F33" s="220"/>
      <c r="G33" s="220"/>
      <c r="H33" s="221"/>
      <c r="I33" s="42"/>
    </row>
    <row r="34" spans="2:9" ht="20.25" customHeight="1" thickBot="1">
      <c r="B34" s="6"/>
      <c r="C34" s="42"/>
      <c r="D34" s="42"/>
      <c r="E34" s="56"/>
      <c r="F34" s="55"/>
      <c r="G34" s="42"/>
      <c r="I34" s="42"/>
    </row>
    <row r="35" spans="2:9" ht="20.25" customHeight="1">
      <c r="B35" s="13" t="s">
        <v>260</v>
      </c>
      <c r="C35" s="53"/>
      <c r="D35" s="53"/>
      <c r="E35" s="204" t="s">
        <v>261</v>
      </c>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lzkTqhD6bG9W8No+3F7/7ulQbW875BmBUpCVigCUZ1KEEkyeFBIfVJQ5B84nFXyYYYnQfTwEPKd6Ej6g0vVTXg==" saltValue="AnyrLqoEk47VisxQ9u2i1w==" spinCount="100000" sheet="1" objects="1" scenarios="1"/>
  <dataConsolidate/>
  <mergeCells count="8">
    <mergeCell ref="E35:H38"/>
    <mergeCell ref="E21:H23"/>
    <mergeCell ref="E28:H30"/>
    <mergeCell ref="I4:I5"/>
    <mergeCell ref="E25:H25"/>
    <mergeCell ref="E26:H26"/>
    <mergeCell ref="E32:H32"/>
    <mergeCell ref="E33:H33"/>
  </mergeCells>
  <pageMargins left="0.28000000000000003" right="0.12" top="0.64" bottom="1" header="0" footer="0"/>
  <pageSetup paperSize="9" scale="76" orientation="portrait" horizontalDpi="4294967293"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42">
    <tabColor rgb="FFFFC000"/>
    <pageSetUpPr fitToPage="1"/>
  </sheetPr>
  <dimension ref="A1:M43"/>
  <sheetViews>
    <sheetView showGridLines="0" topLeftCell="B25" zoomScaleNormal="100" workbookViewId="0">
      <selection activeCell="E35" sqref="E35:H38"/>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+Operacion!G129</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+Operacion!H130</f>
        <v>0</v>
      </c>
      <c r="F4" s="49"/>
      <c r="G4" s="13" t="s">
        <v>251</v>
      </c>
      <c r="H4" s="50">
        <f>+Operacion!L130</f>
        <v>0</v>
      </c>
      <c r="I4" s="266"/>
    </row>
    <row r="5" spans="2:13" ht="15.75" customHeight="1" thickBot="1">
      <c r="C5" s="42"/>
      <c r="D5" s="42"/>
      <c r="E5" s="43"/>
      <c r="F5" s="42"/>
      <c r="G5" s="42"/>
      <c r="I5" s="266"/>
    </row>
    <row r="6" spans="2:13" ht="21.6" thickBot="1">
      <c r="B6" s="13" t="s">
        <v>252</v>
      </c>
      <c r="D6" s="42"/>
      <c r="E6" s="38" t="str">
        <f>+Operacion!B130</f>
        <v>GDU407</v>
      </c>
      <c r="F6" s="20"/>
      <c r="G6" s="13" t="s">
        <v>239</v>
      </c>
      <c r="H6" s="23" t="str">
        <f>VLOOKUP(E6,tablaequipo,6)</f>
        <v>SINOBANG</v>
      </c>
      <c r="I6" s="42"/>
    </row>
    <row r="7" spans="2:13" ht="15.75" customHeight="1">
      <c r="C7" s="42"/>
      <c r="D7" s="42"/>
      <c r="E7" s="23" t="str">
        <f>VLOOKUP(E6,tablaequipo,4)</f>
        <v>Autoelevador</v>
      </c>
      <c r="F7" s="20"/>
      <c r="G7" s="13" t="s">
        <v>240</v>
      </c>
      <c r="H7" s="24" t="str">
        <f>VLOOKUP(E6,tablaequipo,7)</f>
        <v>CPCD 30</v>
      </c>
      <c r="I7" s="42"/>
      <c r="M7" s="57"/>
    </row>
    <row r="8" spans="2:13" ht="15.75" customHeight="1" thickBot="1">
      <c r="C8" s="42"/>
      <c r="D8" s="42"/>
      <c r="E8" s="25">
        <f>VLOOKUP(E6,tablaequipo,5)</f>
        <v>3</v>
      </c>
      <c r="F8" s="20"/>
      <c r="G8" s="13" t="s">
        <v>241</v>
      </c>
      <c r="H8" s="25">
        <f>VLOOKUP(E6,tablaequipo,8)</f>
        <v>0</v>
      </c>
      <c r="I8" s="42"/>
      <c r="M8" s="57"/>
    </row>
    <row r="9" spans="2:13" ht="16.5" customHeight="1" thickBot="1">
      <c r="C9" s="42"/>
      <c r="D9" s="42"/>
      <c r="E9" s="45"/>
      <c r="F9" s="51"/>
      <c r="G9" s="42"/>
      <c r="I9" s="42"/>
      <c r="M9" s="57" t="s">
        <v>253</v>
      </c>
    </row>
    <row r="10" spans="2:13" ht="21.6" thickBot="1">
      <c r="B10" s="13" t="s">
        <v>254</v>
      </c>
      <c r="C10" s="42"/>
      <c r="D10" s="42"/>
      <c r="E10" s="38" t="str">
        <f>+Operacion!D130</f>
        <v>Seleccione Chofer</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t="str">
        <f>+Operacion!D131</f>
        <v>Selección Acompanante</v>
      </c>
      <c r="F13" s="45"/>
      <c r="G13" s="52">
        <v>4</v>
      </c>
      <c r="H13" s="38" t="str">
        <f>+Operacion!D134</f>
        <v>Selección Acompanante</v>
      </c>
      <c r="I13" s="42"/>
    </row>
    <row r="14" spans="2:13" ht="20.25" customHeight="1" thickBot="1">
      <c r="C14" s="42"/>
      <c r="D14" s="52">
        <v>2</v>
      </c>
      <c r="E14" s="38" t="str">
        <f>+Operacion!D132</f>
        <v>Selección Acompanante</v>
      </c>
      <c r="F14" s="45"/>
      <c r="G14" s="52">
        <v>5</v>
      </c>
      <c r="H14" s="38" t="str">
        <f>+Operacion!D135</f>
        <v>Selección Acompanante</v>
      </c>
      <c r="I14" s="42"/>
    </row>
    <row r="15" spans="2:13" ht="20.25" customHeight="1" thickBot="1">
      <c r="C15" s="42"/>
      <c r="D15" s="52">
        <v>3</v>
      </c>
      <c r="E15" s="38" t="str">
        <f>+Operacion!D133</f>
        <v>Selección Acompanante</v>
      </c>
      <c r="F15" s="45"/>
      <c r="G15" s="52">
        <v>6</v>
      </c>
      <c r="H15" s="38" t="str">
        <f>+Operacion!D136</f>
        <v>Selección Acompanante</v>
      </c>
      <c r="I15" s="42"/>
    </row>
    <row r="16" spans="2:13" ht="20.25" customHeight="1" thickBot="1">
      <c r="C16" s="42"/>
      <c r="D16" s="42"/>
      <c r="G16" s="42"/>
      <c r="I16" s="42"/>
    </row>
    <row r="17" spans="2:9" ht="21.6" thickBot="1">
      <c r="B17" s="13" t="s">
        <v>256</v>
      </c>
      <c r="C17" s="42"/>
      <c r="D17" s="42"/>
      <c r="E17" s="40" t="str">
        <f>+Operacion!H135</f>
        <v>Seleccione Verificador</v>
      </c>
      <c r="F17" s="45"/>
      <c r="G17" s="42"/>
      <c r="I17" s="42"/>
    </row>
    <row r="18" spans="2:9" ht="20.25" customHeight="1" thickBot="1">
      <c r="C18" s="42"/>
      <c r="D18" s="42"/>
      <c r="G18" s="42"/>
      <c r="I18" s="42"/>
    </row>
    <row r="19" spans="2:9" ht="21.6" thickBot="1">
      <c r="B19" s="13" t="s">
        <v>257</v>
      </c>
      <c r="C19" s="42"/>
      <c r="D19" s="42"/>
      <c r="E19" s="40" t="str">
        <f>+Operacion!K135</f>
        <v>Selección Operador</v>
      </c>
      <c r="F19" s="45"/>
      <c r="G19" s="42"/>
      <c r="I19" s="42"/>
    </row>
    <row r="20" spans="2:9" ht="20.25" customHeight="1" thickBot="1">
      <c r="C20" s="42"/>
      <c r="D20" s="42"/>
      <c r="G20" s="42"/>
      <c r="I20" s="42"/>
    </row>
    <row r="21" spans="2:9" ht="20.25" customHeight="1">
      <c r="B21" s="13" t="s">
        <v>258</v>
      </c>
      <c r="C21" s="53"/>
      <c r="D21" s="53"/>
      <c r="E21" s="213">
        <f>+Operacion!H131</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+Operacion!H132</f>
        <v>0</v>
      </c>
      <c r="F25" s="214"/>
      <c r="G25" s="214"/>
      <c r="H25" s="215"/>
      <c r="I25" s="42"/>
    </row>
    <row r="26" spans="2:9" ht="20.25" customHeight="1" thickBot="1">
      <c r="B26" s="6"/>
      <c r="C26" s="55"/>
      <c r="D26" s="55"/>
      <c r="E26" s="219">
        <f>+Operacion!L132</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+Operacion!H133</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+Operacion!H134</f>
        <v>0</v>
      </c>
      <c r="F32" s="214"/>
      <c r="G32" s="214"/>
      <c r="H32" s="215"/>
      <c r="I32" s="42"/>
    </row>
    <row r="33" spans="2:9" ht="20.25" customHeight="1" thickBot="1">
      <c r="B33" s="6"/>
      <c r="C33" s="55"/>
      <c r="D33" s="55"/>
      <c r="E33" s="219">
        <f>+Operacion!L134</f>
        <v>0</v>
      </c>
      <c r="F33" s="220"/>
      <c r="G33" s="220"/>
      <c r="H33" s="221"/>
      <c r="I33" s="42"/>
    </row>
    <row r="34" spans="2:9" ht="20.25" customHeight="1" thickBot="1">
      <c r="B34" s="6"/>
      <c r="C34" s="42"/>
      <c r="D34" s="42"/>
      <c r="E34" s="56"/>
      <c r="F34" s="55"/>
      <c r="G34" s="42"/>
      <c r="I34" s="42"/>
    </row>
    <row r="35" spans="2:9" ht="20.25" customHeight="1">
      <c r="B35" s="13" t="s">
        <v>260</v>
      </c>
      <c r="C35" s="53"/>
      <c r="D35" s="53"/>
      <c r="E35" s="204" t="s">
        <v>261</v>
      </c>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5k1AeH0R0B9vwbCMV7ZzPtfj8ap4xV8JAlXPUKYx5rWDE/PHf0CQ/jP/fhJYGrZUtCgJuFuX+x9bUnJnEIf+Yg==" saltValue="ZNZ3nGx9RBfpZ1P7/fF28g==" spinCount="100000" sheet="1" objects="1" scenarios="1"/>
  <dataConsolidate/>
  <mergeCells count="8">
    <mergeCell ref="E33:H33"/>
    <mergeCell ref="E35:H38"/>
    <mergeCell ref="I4:I5"/>
    <mergeCell ref="E21:H23"/>
    <mergeCell ref="E25:H25"/>
    <mergeCell ref="E26:H26"/>
    <mergeCell ref="E28:H30"/>
    <mergeCell ref="E32:H32"/>
  </mergeCells>
  <pageMargins left="0.28000000000000003" right="0.12" top="0.64" bottom="1" header="0" footer="0"/>
  <pageSetup paperSize="9" scale="76" orientation="portrait" horizontalDpi="4294967293"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pageSetUpPr fitToPage="1"/>
  </sheetPr>
  <dimension ref="A1:M43"/>
  <sheetViews>
    <sheetView showGridLines="0" topLeftCell="B25" zoomScaleNormal="100" workbookViewId="0">
      <selection activeCell="E39" sqref="E39"/>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+Operacion!G138</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+Operacion!H139</f>
        <v>0</v>
      </c>
      <c r="F4" s="49"/>
      <c r="G4" s="13" t="s">
        <v>251</v>
      </c>
      <c r="H4" s="50">
        <f>+Operacion!L139</f>
        <v>0</v>
      </c>
      <c r="I4" s="266"/>
    </row>
    <row r="5" spans="2:13" ht="15.75" customHeight="1" thickBot="1">
      <c r="C5" s="42"/>
      <c r="D5" s="42"/>
      <c r="E5" s="43"/>
      <c r="F5" s="42"/>
      <c r="G5" s="42"/>
      <c r="I5" s="266"/>
    </row>
    <row r="6" spans="2:13" ht="21.6" thickBot="1">
      <c r="B6" s="13" t="s">
        <v>252</v>
      </c>
      <c r="D6" s="42"/>
      <c r="E6" s="38" t="str">
        <f>+Operacion!B139</f>
        <v>GDU408</v>
      </c>
      <c r="F6" s="20"/>
      <c r="G6" s="13" t="s">
        <v>239</v>
      </c>
      <c r="H6" s="23" t="str">
        <f>VLOOKUP(E6,tablaequipo,6)</f>
        <v>SINOBANG</v>
      </c>
      <c r="I6" s="42"/>
    </row>
    <row r="7" spans="2:13" ht="15.75" customHeight="1">
      <c r="C7" s="42"/>
      <c r="D7" s="42"/>
      <c r="E7" s="23" t="str">
        <f>VLOOKUP(E6,tablaequipo,4)</f>
        <v>Autoelevador</v>
      </c>
      <c r="F7" s="20"/>
      <c r="G7" s="13" t="s">
        <v>240</v>
      </c>
      <c r="H7" s="24" t="str">
        <f>VLOOKUP(E6,tablaequipo,7)</f>
        <v>CPCD 100</v>
      </c>
      <c r="I7" s="42"/>
      <c r="M7" s="57"/>
    </row>
    <row r="8" spans="2:13" ht="15.75" customHeight="1" thickBot="1">
      <c r="C8" s="42"/>
      <c r="D8" s="42"/>
      <c r="E8" s="25">
        <f>VLOOKUP(E6,tablaequipo,5)</f>
        <v>10</v>
      </c>
      <c r="F8" s="20"/>
      <c r="G8" s="13" t="s">
        <v>241</v>
      </c>
      <c r="H8" s="25">
        <f>VLOOKUP(E6,tablaequipo,8)</f>
        <v>0</v>
      </c>
      <c r="I8" s="42"/>
      <c r="M8" s="57"/>
    </row>
    <row r="9" spans="2:13" ht="16.5" customHeight="1" thickBot="1">
      <c r="C9" s="42"/>
      <c r="D9" s="42"/>
      <c r="E9" s="45"/>
      <c r="F9" s="51"/>
      <c r="G9" s="42"/>
      <c r="I9" s="42"/>
      <c r="M9" s="57" t="s">
        <v>253</v>
      </c>
    </row>
    <row r="10" spans="2:13" ht="21.6" thickBot="1">
      <c r="B10" s="13" t="s">
        <v>254</v>
      </c>
      <c r="C10" s="42"/>
      <c r="D10" s="42"/>
      <c r="E10" s="38">
        <f>+Operacion!D139</f>
        <v>0</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f>+Operacion!D140</f>
        <v>0</v>
      </c>
      <c r="F13" s="45"/>
      <c r="G13" s="52">
        <v>4</v>
      </c>
      <c r="H13" s="38">
        <f>+Operacion!D143</f>
        <v>0</v>
      </c>
      <c r="I13" s="42"/>
    </row>
    <row r="14" spans="2:13" ht="20.25" customHeight="1" thickBot="1">
      <c r="C14" s="42"/>
      <c r="D14" s="52">
        <v>2</v>
      </c>
      <c r="E14" s="38">
        <f>+Operacion!D141</f>
        <v>0</v>
      </c>
      <c r="F14" s="45"/>
      <c r="G14" s="52">
        <v>5</v>
      </c>
      <c r="H14" s="38">
        <f>+Operacion!D144</f>
        <v>0</v>
      </c>
      <c r="I14" s="42"/>
    </row>
    <row r="15" spans="2:13" ht="20.25" customHeight="1" thickBot="1">
      <c r="C15" s="42"/>
      <c r="D15" s="52">
        <v>3</v>
      </c>
      <c r="E15" s="38">
        <f>+Operacion!D142</f>
        <v>0</v>
      </c>
      <c r="F15" s="45"/>
      <c r="G15" s="52">
        <v>6</v>
      </c>
      <c r="H15" s="38">
        <f>+Operacion!D145</f>
        <v>0</v>
      </c>
      <c r="I15" s="42"/>
    </row>
    <row r="16" spans="2:13" ht="20.25" customHeight="1" thickBot="1">
      <c r="C16" s="42"/>
      <c r="D16" s="42"/>
      <c r="G16" s="42"/>
      <c r="I16" s="42"/>
    </row>
    <row r="17" spans="2:9" ht="21.6" thickBot="1">
      <c r="B17" s="13" t="s">
        <v>256</v>
      </c>
      <c r="C17" s="42"/>
      <c r="D17" s="42"/>
      <c r="E17" s="40" t="str">
        <f>+Operacion!H144</f>
        <v>Seleccione Verificador</v>
      </c>
      <c r="F17" s="45"/>
      <c r="G17" s="42"/>
      <c r="I17" s="42"/>
    </row>
    <row r="18" spans="2:9" ht="20.25" customHeight="1" thickBot="1">
      <c r="C18" s="42"/>
      <c r="D18" s="42"/>
      <c r="G18" s="42"/>
      <c r="I18" s="42"/>
    </row>
    <row r="19" spans="2:9" ht="21.6" thickBot="1">
      <c r="B19" s="13" t="s">
        <v>257</v>
      </c>
      <c r="C19" s="42"/>
      <c r="D19" s="42"/>
      <c r="E19" s="40" t="str">
        <f>+Operacion!K144</f>
        <v>Selección Operador</v>
      </c>
      <c r="F19" s="45"/>
      <c r="G19" s="42"/>
      <c r="I19" s="42"/>
    </row>
    <row r="20" spans="2:9" ht="20.25" customHeight="1" thickBot="1">
      <c r="C20" s="42"/>
      <c r="D20" s="42"/>
      <c r="G20" s="42"/>
      <c r="I20" s="42"/>
    </row>
    <row r="21" spans="2:9" ht="20.25" customHeight="1">
      <c r="B21" s="13" t="s">
        <v>258</v>
      </c>
      <c r="C21" s="53"/>
      <c r="D21" s="53"/>
      <c r="E21" s="213">
        <f>+Operacion!H140</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+Operacion!H141</f>
        <v>0</v>
      </c>
      <c r="F25" s="214"/>
      <c r="G25" s="214"/>
      <c r="H25" s="215"/>
      <c r="I25" s="42"/>
    </row>
    <row r="26" spans="2:9" ht="20.25" customHeight="1" thickBot="1">
      <c r="B26" s="6"/>
      <c r="C26" s="55"/>
      <c r="D26" s="55"/>
      <c r="E26" s="219">
        <f>+Operacion!L141</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+Operacion!H142</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+Operacion!H143</f>
        <v>0</v>
      </c>
      <c r="F32" s="214"/>
      <c r="G32" s="214"/>
      <c r="H32" s="215"/>
      <c r="I32" s="42"/>
    </row>
    <row r="33" spans="2:9" ht="20.25" customHeight="1" thickBot="1">
      <c r="B33" s="6"/>
      <c r="C33" s="55"/>
      <c r="D33" s="55"/>
      <c r="E33" s="219">
        <f>+Operacion!L143</f>
        <v>0</v>
      </c>
      <c r="F33" s="220"/>
      <c r="G33" s="220"/>
      <c r="H33" s="221"/>
      <c r="I33" s="42"/>
    </row>
    <row r="34" spans="2:9" ht="20.25" customHeight="1" thickBot="1">
      <c r="B34" s="6"/>
      <c r="C34" s="42"/>
      <c r="D34" s="42"/>
      <c r="E34" s="56"/>
      <c r="F34" s="55"/>
      <c r="G34" s="42"/>
      <c r="I34" s="42"/>
    </row>
    <row r="35" spans="2:9" ht="20.25" customHeight="1">
      <c r="B35" s="13" t="s">
        <v>260</v>
      </c>
      <c r="C35" s="53"/>
      <c r="D35" s="53"/>
      <c r="E35" s="204" t="s">
        <v>261</v>
      </c>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M1v9f93BadOssD9CZGRqh3x8NdG5a2V3TDf+WQP/XmJ/cZiEAfkwh/i59krjNUJZL6OqWmxyigVw7hnVZIqRVg==" saltValue="tqdJ2t7W6lcE2juIj/R8KQ==" spinCount="100000" sheet="1" objects="1" scenarios="1"/>
  <dataConsolidate/>
  <mergeCells count="8">
    <mergeCell ref="E33:H33"/>
    <mergeCell ref="E35:H38"/>
    <mergeCell ref="I4:I5"/>
    <mergeCell ref="E21:H23"/>
    <mergeCell ref="E25:H25"/>
    <mergeCell ref="E26:H26"/>
    <mergeCell ref="E28:H30"/>
    <mergeCell ref="E32:H32"/>
  </mergeCells>
  <pageMargins left="0.28000000000000003" right="0.12" top="0.64" bottom="1" header="0" footer="0"/>
  <pageSetup paperSize="9" scale="76" orientation="portrait" horizontalDpi="4294967293"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43">
    <tabColor rgb="FFFFC000"/>
    <pageSetUpPr fitToPage="1"/>
  </sheetPr>
  <dimension ref="A1:M43"/>
  <sheetViews>
    <sheetView showGridLines="0" topLeftCell="B1" zoomScaleNormal="100" workbookViewId="0">
      <selection activeCell="E6" sqref="E6"/>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+Operacion!G147</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+Operacion!H148</f>
        <v>0</v>
      </c>
      <c r="F4" s="49"/>
      <c r="G4" s="13" t="s">
        <v>251</v>
      </c>
      <c r="H4" s="50">
        <f>+Operacion!L148</f>
        <v>0</v>
      </c>
      <c r="I4" s="266"/>
    </row>
    <row r="5" spans="2:13" ht="15.75" customHeight="1" thickBot="1">
      <c r="C5" s="42"/>
      <c r="D5" s="42"/>
      <c r="E5" s="43"/>
      <c r="F5" s="42"/>
      <c r="G5" s="42"/>
      <c r="I5" s="266"/>
    </row>
    <row r="6" spans="2:13" ht="21.6" thickBot="1">
      <c r="B6" s="13" t="s">
        <v>252</v>
      </c>
      <c r="D6" s="42"/>
      <c r="E6" s="38" t="str">
        <f>+Operacion!B148</f>
        <v>GDU454</v>
      </c>
      <c r="F6" s="20"/>
      <c r="G6" s="13" t="s">
        <v>239</v>
      </c>
      <c r="H6" s="23" t="str">
        <f>VLOOKUP(E6,tablaequipo,6)</f>
        <v>Haulote</v>
      </c>
      <c r="I6" s="42"/>
    </row>
    <row r="7" spans="2:13" ht="15.75" customHeight="1">
      <c r="C7" s="42"/>
      <c r="D7" s="42"/>
      <c r="E7" s="23" t="str">
        <f>VLOOKUP(E6,tablaequipo,4)</f>
        <v>Manipulador</v>
      </c>
      <c r="F7" s="20"/>
      <c r="G7" s="13" t="s">
        <v>240</v>
      </c>
      <c r="H7" s="24" t="str">
        <f>VLOOKUP(E6,tablaequipo,7)</f>
        <v>Hlt4014</v>
      </c>
      <c r="I7" s="42"/>
      <c r="M7" s="57"/>
    </row>
    <row r="8" spans="2:13" ht="15.75" customHeight="1" thickBot="1">
      <c r="C8" s="42"/>
      <c r="D8" s="42"/>
      <c r="E8" s="25">
        <f>VLOOKUP(E6,tablaequipo,5)</f>
        <v>0</v>
      </c>
      <c r="F8" s="20"/>
      <c r="G8" s="13" t="s">
        <v>241</v>
      </c>
      <c r="H8" s="25">
        <f>VLOOKUP(E6,tablaequipo,8)</f>
        <v>0</v>
      </c>
      <c r="I8" s="42"/>
      <c r="M8" s="57"/>
    </row>
    <row r="9" spans="2:13" ht="16.5" customHeight="1" thickBot="1">
      <c r="C9" s="42"/>
      <c r="D9" s="42"/>
      <c r="E9" s="45"/>
      <c r="F9" s="51"/>
      <c r="G9" s="42"/>
      <c r="I9" s="42"/>
      <c r="M9" s="57" t="s">
        <v>253</v>
      </c>
    </row>
    <row r="10" spans="2:13" ht="21.6" thickBot="1">
      <c r="B10" s="13" t="s">
        <v>254</v>
      </c>
      <c r="C10" s="42"/>
      <c r="D10" s="42"/>
      <c r="E10" s="38" t="str">
        <f>+Operacion!D148</f>
        <v>Seleccione Chofer</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t="str">
        <f>+Operacion!D149</f>
        <v>Selección Acompanante</v>
      </c>
      <c r="F13" s="45"/>
      <c r="G13" s="52">
        <v>4</v>
      </c>
      <c r="H13" s="38" t="str">
        <f>+Operacion!D152</f>
        <v>Selección Acompanante</v>
      </c>
      <c r="I13" s="42"/>
    </row>
    <row r="14" spans="2:13" ht="20.25" customHeight="1" thickBot="1">
      <c r="C14" s="42"/>
      <c r="D14" s="52">
        <v>2</v>
      </c>
      <c r="E14" s="38" t="str">
        <f>+Operacion!D150</f>
        <v>Selección Acompanante</v>
      </c>
      <c r="F14" s="45"/>
      <c r="G14" s="52">
        <v>5</v>
      </c>
      <c r="H14" s="38" t="str">
        <f>+Operacion!D153</f>
        <v>Selección Acompanante</v>
      </c>
      <c r="I14" s="42"/>
    </row>
    <row r="15" spans="2:13" ht="20.25" customHeight="1" thickBot="1">
      <c r="C15" s="42"/>
      <c r="D15" s="52">
        <v>3</v>
      </c>
      <c r="E15" s="38" t="str">
        <f>+Operacion!D151</f>
        <v>Selección Acompanante</v>
      </c>
      <c r="F15" s="45"/>
      <c r="G15" s="52">
        <v>6</v>
      </c>
      <c r="H15" s="38" t="str">
        <f>+Operacion!D154</f>
        <v>Selección Acompanante</v>
      </c>
      <c r="I15" s="42"/>
    </row>
    <row r="16" spans="2:13" ht="20.25" customHeight="1" thickBot="1">
      <c r="C16" s="42"/>
      <c r="D16" s="42"/>
      <c r="G16" s="42"/>
      <c r="I16" s="42"/>
    </row>
    <row r="17" spans="2:9" ht="21.6" thickBot="1">
      <c r="B17" s="13" t="s">
        <v>256</v>
      </c>
      <c r="C17" s="42"/>
      <c r="D17" s="42"/>
      <c r="E17" s="40" t="e">
        <f>+Operacion!#REF!</f>
        <v>#REF!</v>
      </c>
      <c r="F17" s="45"/>
      <c r="G17" s="42"/>
      <c r="I17" s="42"/>
    </row>
    <row r="18" spans="2:9" ht="20.25" customHeight="1" thickBot="1">
      <c r="C18" s="42"/>
      <c r="D18" s="42"/>
      <c r="G18" s="42"/>
      <c r="I18" s="42"/>
    </row>
    <row r="19" spans="2:9" ht="21.6" thickBot="1">
      <c r="B19" s="13" t="s">
        <v>257</v>
      </c>
      <c r="C19" s="42"/>
      <c r="D19" s="42"/>
      <c r="E19" s="40" t="e">
        <f>+Operacion!#REF!</f>
        <v>#REF!</v>
      </c>
      <c r="F19" s="45"/>
      <c r="G19" s="42"/>
      <c r="I19" s="42"/>
    </row>
    <row r="20" spans="2:9" ht="20.25" customHeight="1" thickBot="1">
      <c r="C20" s="42"/>
      <c r="D20" s="42"/>
      <c r="G20" s="42"/>
      <c r="I20" s="42"/>
    </row>
    <row r="21" spans="2:9" ht="20.25" customHeight="1">
      <c r="B21" s="13" t="s">
        <v>258</v>
      </c>
      <c r="C21" s="53"/>
      <c r="D21" s="53"/>
      <c r="E21" s="213">
        <f>+Operacion!H149</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+Operacion!H150</f>
        <v>0</v>
      </c>
      <c r="F25" s="214"/>
      <c r="G25" s="214"/>
      <c r="H25" s="215"/>
      <c r="I25" s="42"/>
    </row>
    <row r="26" spans="2:9" ht="20.25" customHeight="1" thickBot="1">
      <c r="B26" s="6"/>
      <c r="C26" s="55"/>
      <c r="D26" s="55"/>
      <c r="E26" s="219">
        <f>+Operacion!L150</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+Operacion!H151</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+Operacion!H152</f>
        <v>0</v>
      </c>
      <c r="F32" s="214"/>
      <c r="G32" s="214"/>
      <c r="H32" s="215"/>
      <c r="I32" s="42"/>
    </row>
    <row r="33" spans="2:9" ht="20.25" customHeight="1" thickBot="1">
      <c r="B33" s="6"/>
      <c r="C33" s="55"/>
      <c r="D33" s="55"/>
      <c r="E33" s="219">
        <f>+Operacion!L152</f>
        <v>0</v>
      </c>
      <c r="F33" s="220"/>
      <c r="G33" s="220"/>
      <c r="H33" s="221"/>
      <c r="I33" s="42"/>
    </row>
    <row r="34" spans="2:9" ht="20.25" customHeight="1" thickBot="1">
      <c r="B34" s="6"/>
      <c r="C34" s="42"/>
      <c r="D34" s="42"/>
      <c r="E34" s="56"/>
      <c r="F34" s="55"/>
      <c r="G34" s="42"/>
      <c r="I34" s="42"/>
    </row>
    <row r="35" spans="2:9" ht="20.25" customHeight="1">
      <c r="B35" s="13" t="s">
        <v>260</v>
      </c>
      <c r="C35" s="53"/>
      <c r="D35" s="53"/>
      <c r="E35" s="204"/>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BY2z+j6RlLy/5O2Kn6FoolxrSpN8NGIkvh01MrWxyufDErnBk+FEtbQBm762jwP5iRNK4jkBZxoGoAWomwgzlQ==" saltValue="rQQofyAlpRMsQGxHTIGi8w==" spinCount="100000" sheet="1" objects="1" scenarios="1"/>
  <dataConsolidate/>
  <mergeCells count="8">
    <mergeCell ref="E33:H33"/>
    <mergeCell ref="E35:H38"/>
    <mergeCell ref="I4:I5"/>
    <mergeCell ref="E21:H23"/>
    <mergeCell ref="E25:H25"/>
    <mergeCell ref="E26:H26"/>
    <mergeCell ref="E28:H30"/>
    <mergeCell ref="E32:H32"/>
  </mergeCells>
  <pageMargins left="0.28000000000000003" right="0.12" top="0.64" bottom="1" header="0" footer="0"/>
  <pageSetup paperSize="9" scale="53" orientation="portrait" horizontalDpi="4294967293"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70C0"/>
  </sheetPr>
  <dimension ref="A1:M43"/>
  <sheetViews>
    <sheetView showGridLines="0" topLeftCell="B25" workbookViewId="0">
      <selection activeCell="H42" sqref="H42"/>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+Operacion!G156</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+Operacion!H157</f>
        <v>0</v>
      </c>
      <c r="F4" s="49"/>
      <c r="G4" s="13" t="s">
        <v>251</v>
      </c>
      <c r="H4" s="50">
        <f>+Operacion!L157</f>
        <v>0</v>
      </c>
      <c r="I4" s="266"/>
    </row>
    <row r="5" spans="2:13" ht="15.75" customHeight="1" thickBot="1">
      <c r="C5" s="42"/>
      <c r="D5" s="42"/>
      <c r="E5" s="43"/>
      <c r="F5" s="42"/>
      <c r="G5" s="42"/>
      <c r="I5" s="266"/>
    </row>
    <row r="6" spans="2:13" ht="21.6" thickBot="1">
      <c r="B6" s="13" t="s">
        <v>252</v>
      </c>
      <c r="D6" s="42"/>
      <c r="E6" s="38" t="str">
        <f>+Operacion!B157</f>
        <v>GDU701</v>
      </c>
      <c r="F6" s="20"/>
      <c r="G6" s="13" t="s">
        <v>239</v>
      </c>
      <c r="H6" s="23" t="str">
        <f>VLOOKUP(E6,tablaequipo,6)</f>
        <v>Alguiler Grua</v>
      </c>
      <c r="I6" s="42"/>
    </row>
    <row r="7" spans="2:13" ht="15.75" customHeight="1">
      <c r="C7" s="42"/>
      <c r="D7" s="42"/>
      <c r="E7" s="23" t="str">
        <f>VLOOKUP(E6,tablaequipo,4)</f>
        <v>Grua</v>
      </c>
      <c r="F7" s="20"/>
      <c r="G7" s="13" t="s">
        <v>240</v>
      </c>
      <c r="H7" s="24">
        <f>VLOOKUP(E6,tablaequipo,7)</f>
        <v>0</v>
      </c>
      <c r="I7" s="42"/>
      <c r="M7" s="57"/>
    </row>
    <row r="8" spans="2:13" ht="15.75" customHeight="1" thickBot="1">
      <c r="C8" s="42"/>
      <c r="D8" s="42"/>
      <c r="E8" s="25">
        <f>VLOOKUP(E6,tablaequipo,5)</f>
        <v>0</v>
      </c>
      <c r="F8" s="20"/>
      <c r="G8" s="13" t="s">
        <v>241</v>
      </c>
      <c r="H8" s="25">
        <f>VLOOKUP(E6,tablaequipo,8)</f>
        <v>0</v>
      </c>
      <c r="I8" s="42"/>
      <c r="M8" s="57"/>
    </row>
    <row r="9" spans="2:13" ht="16.5" customHeight="1" thickBot="1">
      <c r="C9" s="42"/>
      <c r="D9" s="42"/>
      <c r="E9" s="45"/>
      <c r="F9" s="51"/>
      <c r="G9" s="42"/>
      <c r="I9" s="42"/>
      <c r="M9" s="57" t="s">
        <v>253</v>
      </c>
    </row>
    <row r="10" spans="2:13" ht="21.6" thickBot="1">
      <c r="B10" s="13" t="s">
        <v>254</v>
      </c>
      <c r="C10" s="42"/>
      <c r="D10" s="42"/>
      <c r="E10" s="38" t="str">
        <f>+Operacion!D157</f>
        <v>Seleccione Chofer</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t="str">
        <f>+Operacion!D158</f>
        <v>Selección Acompanante</v>
      </c>
      <c r="F13" s="45"/>
      <c r="G13" s="52">
        <v>4</v>
      </c>
      <c r="H13" s="38" t="str">
        <f>+Operacion!D161</f>
        <v>Selección Acompanante</v>
      </c>
      <c r="I13" s="42"/>
    </row>
    <row r="14" spans="2:13" ht="20.25" customHeight="1" thickBot="1">
      <c r="C14" s="42"/>
      <c r="D14" s="52">
        <v>2</v>
      </c>
      <c r="E14" s="38" t="str">
        <f>+Operacion!D159</f>
        <v>Selección Acompanante</v>
      </c>
      <c r="F14" s="45"/>
      <c r="G14" s="52">
        <v>5</v>
      </c>
      <c r="H14" s="38" t="str">
        <f>+Operacion!D162</f>
        <v>Selección Acompanante</v>
      </c>
      <c r="I14" s="42"/>
    </row>
    <row r="15" spans="2:13" ht="20.25" customHeight="1" thickBot="1">
      <c r="C15" s="42"/>
      <c r="D15" s="52">
        <v>3</v>
      </c>
      <c r="E15" s="38" t="str">
        <f>+Operacion!D160</f>
        <v>Selección Acompanante</v>
      </c>
      <c r="F15" s="45"/>
      <c r="G15" s="52">
        <v>6</v>
      </c>
      <c r="H15" s="38" t="str">
        <f>+Operacion!D163</f>
        <v>Selección Acompanante</v>
      </c>
      <c r="I15" s="42"/>
    </row>
    <row r="16" spans="2:13" ht="20.25" customHeight="1" thickBot="1">
      <c r="C16" s="42"/>
      <c r="D16" s="42"/>
      <c r="G16" s="42"/>
      <c r="I16" s="42"/>
    </row>
    <row r="17" spans="2:9" ht="21.6" thickBot="1">
      <c r="B17" s="13" t="s">
        <v>256</v>
      </c>
      <c r="C17" s="42"/>
      <c r="D17" s="42"/>
      <c r="E17" s="40" t="e">
        <f>+Operacion!#REF!</f>
        <v>#REF!</v>
      </c>
      <c r="F17" s="45"/>
      <c r="G17" s="42"/>
      <c r="I17" s="42"/>
    </row>
    <row r="18" spans="2:9" ht="20.25" customHeight="1" thickBot="1">
      <c r="C18" s="42"/>
      <c r="D18" s="42"/>
      <c r="G18" s="42"/>
      <c r="I18" s="42"/>
    </row>
    <row r="19" spans="2:9" ht="21.6" thickBot="1">
      <c r="B19" s="13" t="s">
        <v>257</v>
      </c>
      <c r="C19" s="42"/>
      <c r="D19" s="42"/>
      <c r="E19" s="40" t="e">
        <f>+Operacion!#REF!</f>
        <v>#REF!</v>
      </c>
      <c r="F19" s="45"/>
      <c r="G19" s="42"/>
      <c r="I19" s="42"/>
    </row>
    <row r="20" spans="2:9" ht="20.25" customHeight="1" thickBot="1">
      <c r="C20" s="42"/>
      <c r="D20" s="42"/>
      <c r="G20" s="42"/>
      <c r="I20" s="42"/>
    </row>
    <row r="21" spans="2:9" ht="20.25" customHeight="1">
      <c r="B21" s="13" t="s">
        <v>258</v>
      </c>
      <c r="C21" s="53"/>
      <c r="D21" s="53"/>
      <c r="E21" s="213">
        <f>+Operacion!H158</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+Operacion!H159</f>
        <v>0</v>
      </c>
      <c r="F25" s="214"/>
      <c r="G25" s="214"/>
      <c r="H25" s="215"/>
      <c r="I25" s="42"/>
    </row>
    <row r="26" spans="2:9" ht="20.25" customHeight="1" thickBot="1">
      <c r="B26" s="6"/>
      <c r="C26" s="55"/>
      <c r="D26" s="55"/>
      <c r="E26" s="219">
        <f>+Operacion!L159</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+Operacion!H160</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+Operacion!H161</f>
        <v>0</v>
      </c>
      <c r="F32" s="214"/>
      <c r="G32" s="214"/>
      <c r="H32" s="215"/>
      <c r="I32" s="42"/>
    </row>
    <row r="33" spans="2:9" ht="20.25" customHeight="1" thickBot="1">
      <c r="B33" s="6"/>
      <c r="C33" s="55"/>
      <c r="D33" s="55"/>
      <c r="E33" s="219">
        <f>+Operacion!L161</f>
        <v>0</v>
      </c>
      <c r="F33" s="220"/>
      <c r="G33" s="220"/>
      <c r="H33" s="221"/>
      <c r="I33" s="42"/>
    </row>
    <row r="34" spans="2:9" ht="20.25" customHeight="1" thickBot="1">
      <c r="B34" s="6"/>
      <c r="C34" s="42"/>
      <c r="D34" s="42"/>
      <c r="E34" s="56"/>
      <c r="F34" s="55"/>
      <c r="G34" s="42"/>
      <c r="I34" s="42"/>
    </row>
    <row r="35" spans="2:9" ht="20.25" customHeight="1">
      <c r="B35" s="13" t="s">
        <v>260</v>
      </c>
      <c r="C35" s="53"/>
      <c r="D35" s="53"/>
      <c r="E35" s="204"/>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VtgTzazhZDkKXEiBB2BY4hXDJgV6dEWEeC6GUolOU9u5a6qtbPvaBeV3GMMCr8wTtX27/CP3Wmwt+YEu6mwcMQ==" saltValue="z1sWVrTGmGuOcmj/xy6w4g==" spinCount="100000" sheet="1" objects="1" scenarios="1"/>
  <mergeCells count="8">
    <mergeCell ref="E33:H33"/>
    <mergeCell ref="E35:H38"/>
    <mergeCell ref="I4:I5"/>
    <mergeCell ref="E21:H23"/>
    <mergeCell ref="E25:H25"/>
    <mergeCell ref="E26:H26"/>
    <mergeCell ref="E28:H30"/>
    <mergeCell ref="E32:H3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30">
    <tabColor rgb="FF0070C0"/>
    <pageSetUpPr fitToPage="1"/>
  </sheetPr>
  <dimension ref="A1:M43"/>
  <sheetViews>
    <sheetView showGridLines="0" topLeftCell="B1" zoomScaleNormal="100" workbookViewId="0">
      <selection activeCell="E35" sqref="B1:H38"/>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+Operacion!G165</f>
        <v>Gruas Daniele</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t="str">
        <f>+Operacion!H166</f>
        <v xml:space="preserve">IDENTIDAD CORPORATIVA ARGENTINA </v>
      </c>
      <c r="F4" s="49"/>
      <c r="G4" s="13" t="s">
        <v>251</v>
      </c>
      <c r="H4" s="50">
        <f>+Operacion!L166</f>
        <v>0.25</v>
      </c>
      <c r="I4" s="266"/>
    </row>
    <row r="5" spans="2:13" ht="15.75" customHeight="1" thickBot="1">
      <c r="C5" s="42"/>
      <c r="D5" s="42"/>
      <c r="E5" s="43"/>
      <c r="F5" s="42"/>
      <c r="G5" s="42"/>
      <c r="I5" s="266"/>
    </row>
    <row r="6" spans="2:13" ht="26.45" thickBot="1">
      <c r="B6" s="13" t="s">
        <v>252</v>
      </c>
      <c r="D6" s="42"/>
      <c r="E6" s="37" t="str">
        <f>+Operacion!B166</f>
        <v>GDU500</v>
      </c>
      <c r="F6" s="20"/>
      <c r="G6" s="13" t="s">
        <v>239</v>
      </c>
      <c r="H6" s="23" t="str">
        <f>VLOOKUP(E6,tablaequipo,6)</f>
        <v>LIEBHERR</v>
      </c>
      <c r="I6" s="42"/>
    </row>
    <row r="7" spans="2:13" ht="15.75" customHeight="1">
      <c r="C7" s="42"/>
      <c r="D7" s="42"/>
      <c r="E7" s="23" t="str">
        <f>VLOOKUP(E6,tablaequipo,4)</f>
        <v>Grua</v>
      </c>
      <c r="F7" s="20"/>
      <c r="G7" s="13" t="s">
        <v>240</v>
      </c>
      <c r="H7" s="24" t="str">
        <f>VLOOKUP(E6,tablaequipo,7)</f>
        <v>LTM 1030</v>
      </c>
      <c r="I7" s="42"/>
      <c r="M7" s="57"/>
    </row>
    <row r="8" spans="2:13" ht="15.75" customHeight="1" thickBot="1">
      <c r="C8" s="42"/>
      <c r="D8" s="42"/>
      <c r="E8" s="25">
        <f>VLOOKUP(E6,tablaequipo,5)</f>
        <v>30</v>
      </c>
      <c r="F8" s="20"/>
      <c r="G8" s="13" t="s">
        <v>241</v>
      </c>
      <c r="H8" s="25" t="str">
        <f>VLOOKUP(E6,tablaequipo,8)</f>
        <v>-</v>
      </c>
      <c r="I8" s="42"/>
      <c r="M8" s="57"/>
    </row>
    <row r="9" spans="2:13" ht="16.5" customHeight="1" thickBot="1">
      <c r="C9" s="42"/>
      <c r="D9" s="42"/>
      <c r="E9" s="45"/>
      <c r="F9" s="51"/>
      <c r="G9" s="42"/>
      <c r="I9" s="42"/>
      <c r="M9" s="57" t="s">
        <v>253</v>
      </c>
    </row>
    <row r="10" spans="2:13" ht="21.6" thickBot="1">
      <c r="B10" s="13" t="s">
        <v>254</v>
      </c>
      <c r="C10" s="42"/>
      <c r="D10" s="42"/>
      <c r="E10" s="38" t="str">
        <f>+Operacion!D166</f>
        <v>Campos Fernandez Jose Antonio</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f>+Operacion!D167</f>
        <v>0</v>
      </c>
      <c r="F13" s="45"/>
      <c r="G13" s="52">
        <v>4</v>
      </c>
      <c r="H13" s="38">
        <f>+Operacion!D170</f>
        <v>0</v>
      </c>
      <c r="I13" s="42"/>
    </row>
    <row r="14" spans="2:13" ht="20.25" customHeight="1" thickBot="1">
      <c r="C14" s="42"/>
      <c r="D14" s="52">
        <v>2</v>
      </c>
      <c r="E14" s="38">
        <f>+Operacion!D168</f>
        <v>0</v>
      </c>
      <c r="F14" s="45"/>
      <c r="G14" s="52">
        <v>5</v>
      </c>
      <c r="H14" s="38">
        <f>+Operacion!D171</f>
        <v>0</v>
      </c>
      <c r="I14" s="42"/>
    </row>
    <row r="15" spans="2:13" ht="20.25" customHeight="1" thickBot="1">
      <c r="C15" s="42"/>
      <c r="D15" s="52">
        <v>3</v>
      </c>
      <c r="E15" s="38">
        <f>+Operacion!D169</f>
        <v>0</v>
      </c>
      <c r="F15" s="45"/>
      <c r="G15" s="52">
        <v>6</v>
      </c>
      <c r="H15" s="38">
        <f>+Operacion!D172</f>
        <v>0</v>
      </c>
      <c r="I15" s="42"/>
    </row>
    <row r="16" spans="2:13" ht="20.25" customHeight="1" thickBot="1">
      <c r="C16" s="42"/>
      <c r="D16" s="42"/>
      <c r="G16" s="42"/>
      <c r="I16" s="42"/>
    </row>
    <row r="17" spans="2:9" ht="21.6" thickBot="1">
      <c r="B17" s="13" t="s">
        <v>256</v>
      </c>
      <c r="C17" s="42"/>
      <c r="D17" s="42"/>
      <c r="E17" s="40" t="str">
        <f>+Operacion!H171</f>
        <v>Seleccione Verificador</v>
      </c>
      <c r="F17" s="45"/>
      <c r="G17" s="42"/>
      <c r="I17" s="42"/>
    </row>
    <row r="18" spans="2:9" ht="20.25" customHeight="1" thickBot="1">
      <c r="C18" s="42"/>
      <c r="D18" s="42"/>
      <c r="G18" s="42"/>
      <c r="I18" s="42"/>
    </row>
    <row r="19" spans="2:9" ht="21.6" thickBot="1">
      <c r="B19" s="13" t="s">
        <v>257</v>
      </c>
      <c r="C19" s="42"/>
      <c r="D19" s="42"/>
      <c r="E19" s="40" t="str">
        <f>+Operacion!K171</f>
        <v>Recines Alejandro</v>
      </c>
      <c r="F19" s="45"/>
      <c r="G19" s="42"/>
      <c r="I19" s="42"/>
    </row>
    <row r="20" spans="2:9" ht="20.25" customHeight="1" thickBot="1">
      <c r="C20" s="42"/>
      <c r="D20" s="42"/>
      <c r="G20" s="42"/>
      <c r="I20" s="42"/>
    </row>
    <row r="21" spans="2:9" ht="20.25" customHeight="1">
      <c r="B21" s="13" t="s">
        <v>258</v>
      </c>
      <c r="C21" s="53"/>
      <c r="D21" s="53"/>
      <c r="E21" s="213" t="str">
        <f>+Operacion!H167</f>
        <v>MAC DONALD´S - AV 14 N°5002, BERAZATEGUI</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+Operacion!H168</f>
        <v>0</v>
      </c>
      <c r="F25" s="214"/>
      <c r="G25" s="214"/>
      <c r="H25" s="215"/>
      <c r="I25" s="42"/>
    </row>
    <row r="26" spans="2:9" ht="20.25" customHeight="1" thickBot="1">
      <c r="B26" s="6"/>
      <c r="C26" s="55"/>
      <c r="D26" s="55"/>
      <c r="E26" s="219">
        <f>+Operacion!L168</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+Operacion!H169</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+Operacion!H170</f>
        <v>0</v>
      </c>
      <c r="F32" s="214"/>
      <c r="G32" s="214"/>
      <c r="H32" s="215"/>
      <c r="I32" s="42"/>
    </row>
    <row r="33" spans="2:9" ht="20.25" customHeight="1" thickBot="1">
      <c r="B33" s="6"/>
      <c r="C33" s="55"/>
      <c r="D33" s="55"/>
      <c r="E33" s="219">
        <f>+Operacion!L170</f>
        <v>0</v>
      </c>
      <c r="F33" s="220"/>
      <c r="G33" s="220"/>
      <c r="H33" s="221"/>
      <c r="I33" s="42"/>
    </row>
    <row r="34" spans="2:9" ht="20.25" customHeight="1" thickBot="1">
      <c r="B34" s="6"/>
      <c r="C34" s="42"/>
      <c r="D34" s="42"/>
      <c r="E34" s="56"/>
      <c r="F34" s="55"/>
      <c r="G34" s="42"/>
      <c r="I34" s="42"/>
    </row>
    <row r="35" spans="2:9" ht="20.25" customHeight="1">
      <c r="B35" s="13" t="s">
        <v>260</v>
      </c>
      <c r="C35" s="53"/>
      <c r="D35" s="53"/>
      <c r="E35" s="204" t="s">
        <v>262</v>
      </c>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B16OK9bJVhoaNtsO+LoeR7j8LhFhF1+NbGZUimOhaRewxnhXc9HOUaHF7X0Cu8cMOrRf46DSxJVo2HoyY+MEkg==" saltValue="eD5Byq451sC4gVjZJYN0Tw==" spinCount="100000" sheet="1" objects="1" scenarios="1"/>
  <dataConsolidate/>
  <mergeCells count="8">
    <mergeCell ref="E33:H33"/>
    <mergeCell ref="E35:H38"/>
    <mergeCell ref="I4:I5"/>
    <mergeCell ref="E21:H23"/>
    <mergeCell ref="E25:H25"/>
    <mergeCell ref="E26:H26"/>
    <mergeCell ref="E28:H30"/>
    <mergeCell ref="E32:H32"/>
  </mergeCells>
  <pageMargins left="0.28000000000000003" right="0.12" top="0.64" bottom="1" header="0" footer="0"/>
  <pageSetup paperSize="9" scale="53" orientation="portrait" horizontalDpi="4294967293"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32">
    <tabColor rgb="FF0070C0"/>
    <pageSetUpPr fitToPage="1"/>
  </sheetPr>
  <dimension ref="A1:M43"/>
  <sheetViews>
    <sheetView showGridLines="0" topLeftCell="B18" zoomScaleNormal="100" workbookViewId="0">
      <selection activeCell="E35" sqref="E35:H38"/>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+Operacion!G174</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+Operacion!H175</f>
        <v>0</v>
      </c>
      <c r="F4" s="49"/>
      <c r="G4" s="13" t="s">
        <v>251</v>
      </c>
      <c r="H4" s="50">
        <f>+Operacion!L175</f>
        <v>0</v>
      </c>
      <c r="I4" s="43"/>
    </row>
    <row r="5" spans="2:13" ht="15.75" customHeight="1" thickBot="1">
      <c r="C5" s="42"/>
      <c r="D5" s="42"/>
      <c r="E5" s="43"/>
      <c r="F5" s="42"/>
      <c r="G5" s="42"/>
      <c r="I5" s="43"/>
    </row>
    <row r="6" spans="2:13" ht="26.45" thickBot="1">
      <c r="B6" s="13" t="s">
        <v>252</v>
      </c>
      <c r="D6" s="42"/>
      <c r="E6" s="37" t="str">
        <f>+Operacion!B175</f>
        <v>GDU502</v>
      </c>
      <c r="F6" s="20"/>
      <c r="G6" s="13" t="s">
        <v>239</v>
      </c>
      <c r="H6" s="23" t="str">
        <f>VLOOKUP(E6,tablaequipo,6)</f>
        <v>LIEBHERR</v>
      </c>
      <c r="I6" s="42"/>
    </row>
    <row r="7" spans="2:13" ht="15.75" customHeight="1">
      <c r="C7" s="42"/>
      <c r="D7" s="42"/>
      <c r="E7" s="23" t="str">
        <f>VLOOKUP(E6,tablaequipo,4)</f>
        <v>Grua</v>
      </c>
      <c r="F7" s="20"/>
      <c r="G7" s="13" t="s">
        <v>240</v>
      </c>
      <c r="H7" s="24" t="str">
        <f>VLOOKUP(E6,tablaequipo,7)</f>
        <v>LTM 1070</v>
      </c>
      <c r="I7" s="42"/>
      <c r="M7" s="57"/>
    </row>
    <row r="8" spans="2:13" ht="15.75" customHeight="1" thickBot="1">
      <c r="C8" s="42"/>
      <c r="D8" s="42"/>
      <c r="E8" s="25">
        <f>VLOOKUP(E6,tablaequipo,5)</f>
        <v>70</v>
      </c>
      <c r="F8" s="20"/>
      <c r="G8" s="13" t="s">
        <v>241</v>
      </c>
      <c r="H8" s="25" t="str">
        <f>VLOOKUP(E6,tablaequipo,8)</f>
        <v>LGU 098</v>
      </c>
      <c r="I8" s="42"/>
      <c r="M8" s="57"/>
    </row>
    <row r="9" spans="2:13" ht="16.5" customHeight="1" thickBot="1">
      <c r="C9" s="42"/>
      <c r="D9" s="42"/>
      <c r="E9" s="45"/>
      <c r="F9" s="51"/>
      <c r="G9" s="42"/>
      <c r="I9" s="42"/>
      <c r="M9" s="57" t="s">
        <v>253</v>
      </c>
    </row>
    <row r="10" spans="2:13" ht="21.6" thickBot="1">
      <c r="B10" s="13" t="s">
        <v>254</v>
      </c>
      <c r="C10" s="42"/>
      <c r="D10" s="42"/>
      <c r="E10" s="38" t="str">
        <f>+Operacion!D175</f>
        <v>Seleccione Chofer</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t="str">
        <f>+Operacion!D176</f>
        <v>Selección Acompanante</v>
      </c>
      <c r="F13" s="45"/>
      <c r="G13" s="52">
        <v>4</v>
      </c>
      <c r="H13" s="38" t="str">
        <f>+Operacion!D179</f>
        <v>Selección Acompanante</v>
      </c>
      <c r="I13" s="42"/>
    </row>
    <row r="14" spans="2:13" ht="20.25" customHeight="1" thickBot="1">
      <c r="C14" s="42"/>
      <c r="D14" s="52">
        <v>2</v>
      </c>
      <c r="E14" s="38" t="str">
        <f>+Operacion!D177</f>
        <v>Selección Acompanante</v>
      </c>
      <c r="F14" s="45"/>
      <c r="G14" s="52">
        <v>5</v>
      </c>
      <c r="H14" s="38" t="str">
        <f>+Operacion!D180</f>
        <v>Selección Acompanante</v>
      </c>
      <c r="I14" s="42"/>
    </row>
    <row r="15" spans="2:13" ht="20.25" customHeight="1" thickBot="1">
      <c r="C15" s="42"/>
      <c r="D15" s="52">
        <v>3</v>
      </c>
      <c r="E15" s="38" t="str">
        <f>+Operacion!D178</f>
        <v>Selección Acompanante</v>
      </c>
      <c r="F15" s="45"/>
      <c r="G15" s="52">
        <v>6</v>
      </c>
      <c r="H15" s="38" t="str">
        <f>+Operacion!D181</f>
        <v>Selección Acompanante</v>
      </c>
      <c r="I15" s="42"/>
    </row>
    <row r="16" spans="2:13" ht="20.25" customHeight="1" thickBot="1">
      <c r="C16" s="42"/>
      <c r="D16" s="42"/>
      <c r="G16" s="42"/>
      <c r="I16" s="42"/>
    </row>
    <row r="17" spans="2:9" ht="21.6" thickBot="1">
      <c r="B17" s="13" t="s">
        <v>256</v>
      </c>
      <c r="C17" s="42"/>
      <c r="D17" s="42"/>
      <c r="E17" s="40" t="str">
        <f>+Operacion!H180</f>
        <v>Seleccione Verificador</v>
      </c>
      <c r="F17" s="45"/>
      <c r="G17" s="42"/>
      <c r="I17" s="42"/>
    </row>
    <row r="18" spans="2:9" ht="20.25" customHeight="1" thickBot="1">
      <c r="C18" s="42"/>
      <c r="D18" s="42"/>
      <c r="G18" s="42"/>
      <c r="I18" s="42"/>
    </row>
    <row r="19" spans="2:9" ht="21.6" thickBot="1">
      <c r="B19" s="13" t="s">
        <v>257</v>
      </c>
      <c r="C19" s="42"/>
      <c r="D19" s="42"/>
      <c r="E19" s="40" t="str">
        <f>+Operacion!K180</f>
        <v>Selección Operador</v>
      </c>
      <c r="F19" s="45"/>
      <c r="G19" s="42"/>
      <c r="I19" s="42"/>
    </row>
    <row r="20" spans="2:9" ht="20.25" customHeight="1" thickBot="1">
      <c r="C20" s="42"/>
      <c r="D20" s="42"/>
      <c r="G20" s="42"/>
      <c r="I20" s="42"/>
    </row>
    <row r="21" spans="2:9" ht="20.25" customHeight="1">
      <c r="B21" s="13" t="s">
        <v>258</v>
      </c>
      <c r="C21" s="53"/>
      <c r="D21" s="53"/>
      <c r="E21" s="213">
        <f>+Operacion!H176</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+Operacion!H177</f>
        <v>0</v>
      </c>
      <c r="F25" s="214"/>
      <c r="G25" s="214"/>
      <c r="H25" s="215"/>
      <c r="I25" s="42"/>
    </row>
    <row r="26" spans="2:9" ht="20.25" customHeight="1" thickBot="1">
      <c r="B26" s="6"/>
      <c r="C26" s="55"/>
      <c r="D26" s="55"/>
      <c r="E26" s="219">
        <f>+Operacion!L177</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+Operacion!H178</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+Operacion!H179</f>
        <v>0</v>
      </c>
      <c r="F32" s="214"/>
      <c r="G32" s="214"/>
      <c r="H32" s="215"/>
      <c r="I32" s="42"/>
    </row>
    <row r="33" spans="2:9" ht="20.25" customHeight="1" thickBot="1">
      <c r="B33" s="6"/>
      <c r="C33" s="55"/>
      <c r="D33" s="55"/>
      <c r="E33" s="219">
        <f>+Operacion!L179</f>
        <v>0</v>
      </c>
      <c r="F33" s="220"/>
      <c r="G33" s="220"/>
      <c r="H33" s="221"/>
      <c r="I33" s="42"/>
    </row>
    <row r="34" spans="2:9" ht="20.25" customHeight="1" thickBot="1">
      <c r="B34" s="6"/>
      <c r="C34" s="42"/>
      <c r="D34" s="42"/>
      <c r="E34" s="56"/>
      <c r="F34" s="55"/>
      <c r="G34" s="42"/>
      <c r="I34" s="42"/>
    </row>
    <row r="35" spans="2:9" ht="20.25" customHeight="1">
      <c r="B35" s="13" t="s">
        <v>260</v>
      </c>
      <c r="C35" s="53"/>
      <c r="D35" s="53"/>
      <c r="E35" s="204"/>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2ZKvGclh0sDhzwZj2CX3hnBTCuec8fzZUNzAv3fiAVgiG+L1SMhUa0zIE6/xcEUI2NQ2OVChXpb8J1Jm1dw+IQ==" saltValue="mJFJomZGb2mB3oS7pVYUEw==" spinCount="100000" sheet="1" objects="1" scenarios="1"/>
  <dataConsolidate/>
  <mergeCells count="7">
    <mergeCell ref="E33:H33"/>
    <mergeCell ref="E35:H38"/>
    <mergeCell ref="E21:H23"/>
    <mergeCell ref="E25:H25"/>
    <mergeCell ref="E26:H26"/>
    <mergeCell ref="E28:H30"/>
    <mergeCell ref="E32:H32"/>
  </mergeCells>
  <dataValidations count="1">
    <dataValidation type="list" allowBlank="1" showInputMessage="1" showErrorMessage="1" sqref="E6" xr:uid="{00000000-0002-0000-1900-000000000000}">
      <formula1>unidad</formula1>
    </dataValidation>
  </dataValidations>
  <pageMargins left="0.28000000000000003" right="0.12" top="0.64" bottom="1" header="0" footer="0"/>
  <pageSetup paperSize="9" scale="76" orientation="portrait" horizontalDpi="4294967293"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1000000}">
          <x14:formula1>
            <xm:f>Empresas!$C$2:$C$10</xm:f>
          </x14:formula1>
          <xm:sqref>E2:F2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33">
    <tabColor rgb="FF0070C0"/>
    <pageSetUpPr fitToPage="1"/>
  </sheetPr>
  <dimension ref="A1:M43"/>
  <sheetViews>
    <sheetView showGridLines="0" topLeftCell="B13" zoomScaleNormal="100" workbookViewId="0">
      <selection activeCell="H45" sqref="H45"/>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+Operacion!G183</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+Operacion!H184</f>
        <v>0</v>
      </c>
      <c r="F4" s="49"/>
      <c r="G4" s="13" t="s">
        <v>251</v>
      </c>
      <c r="H4" s="50">
        <f>+Operacion!L184</f>
        <v>0</v>
      </c>
      <c r="I4" s="43"/>
    </row>
    <row r="5" spans="2:13" ht="15.75" customHeight="1" thickBot="1">
      <c r="C5" s="42"/>
      <c r="D5" s="42"/>
      <c r="E5" s="43"/>
      <c r="F5" s="42"/>
      <c r="G5" s="42"/>
      <c r="I5" s="43"/>
    </row>
    <row r="6" spans="2:13" ht="26.45" thickBot="1">
      <c r="B6" s="13" t="s">
        <v>252</v>
      </c>
      <c r="D6" s="42"/>
      <c r="E6" s="37" t="str">
        <f>+Operacion!B184</f>
        <v>GDU503</v>
      </c>
      <c r="F6" s="20"/>
      <c r="G6" s="13" t="s">
        <v>239</v>
      </c>
      <c r="H6" s="23" t="str">
        <f>VLOOKUP(E6,tablaequipo,6)</f>
        <v>LIEBHERR</v>
      </c>
      <c r="I6" s="42"/>
    </row>
    <row r="7" spans="2:13" ht="15.75" customHeight="1">
      <c r="C7" s="42"/>
      <c r="D7" s="42"/>
      <c r="E7" s="23" t="str">
        <f>VLOOKUP(E6,tablaequipo,4)</f>
        <v>Grua</v>
      </c>
      <c r="F7" s="20"/>
      <c r="G7" s="13" t="s">
        <v>240</v>
      </c>
      <c r="H7" s="24" t="str">
        <f>VLOOKUP(E6,tablaequipo,7)</f>
        <v>LTM 1090</v>
      </c>
      <c r="I7" s="42"/>
      <c r="M7" s="57"/>
    </row>
    <row r="8" spans="2:13" ht="15.75" customHeight="1" thickBot="1">
      <c r="C8" s="42"/>
      <c r="D8" s="42"/>
      <c r="E8" s="25">
        <f>VLOOKUP(E6,tablaequipo,5)</f>
        <v>90</v>
      </c>
      <c r="F8" s="20"/>
      <c r="G8" s="13" t="s">
        <v>241</v>
      </c>
      <c r="H8" s="25" t="str">
        <f>VLOOKUP(E6,tablaequipo,8)</f>
        <v>AG897CT</v>
      </c>
      <c r="I8" s="42"/>
      <c r="M8" s="57"/>
    </row>
    <row r="9" spans="2:13" ht="16.5" customHeight="1" thickBot="1">
      <c r="C9" s="42"/>
      <c r="D9" s="42"/>
      <c r="E9" s="45"/>
      <c r="F9" s="51"/>
      <c r="G9" s="42"/>
      <c r="I9" s="42"/>
      <c r="M9" s="57" t="s">
        <v>253</v>
      </c>
    </row>
    <row r="10" spans="2:13" ht="21.6" thickBot="1">
      <c r="B10" s="13" t="s">
        <v>254</v>
      </c>
      <c r="C10" s="42"/>
      <c r="D10" s="42"/>
      <c r="E10" s="38" t="str">
        <f>+Operacion!D184</f>
        <v>Seleccione Chofer</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t="str">
        <f>+Operacion!D185</f>
        <v>Selección Acompanante</v>
      </c>
      <c r="F13" s="45"/>
      <c r="G13" s="52">
        <v>4</v>
      </c>
      <c r="H13" s="38" t="str">
        <f>+Operacion!D188</f>
        <v>Selección Acompanante</v>
      </c>
      <c r="I13" s="42"/>
    </row>
    <row r="14" spans="2:13" ht="20.25" customHeight="1" thickBot="1">
      <c r="C14" s="42"/>
      <c r="D14" s="52">
        <v>2</v>
      </c>
      <c r="E14" s="38" t="str">
        <f>+Operacion!D186</f>
        <v>Selección Acompanante</v>
      </c>
      <c r="F14" s="45"/>
      <c r="G14" s="52">
        <v>5</v>
      </c>
      <c r="H14" s="38" t="str">
        <f>+Operacion!D189</f>
        <v>Selección Acompanante</v>
      </c>
      <c r="I14" s="42"/>
    </row>
    <row r="15" spans="2:13" ht="20.25" customHeight="1" thickBot="1">
      <c r="C15" s="42"/>
      <c r="D15" s="52">
        <v>3</v>
      </c>
      <c r="E15" s="38" t="str">
        <f>+Operacion!D187</f>
        <v>Selección Acompanante</v>
      </c>
      <c r="F15" s="45"/>
      <c r="G15" s="52">
        <v>6</v>
      </c>
      <c r="H15" s="38" t="str">
        <f>+Operacion!D190</f>
        <v>Selección Acompanante</v>
      </c>
      <c r="I15" s="42"/>
    </row>
    <row r="16" spans="2:13" ht="20.25" customHeight="1" thickBot="1">
      <c r="C16" s="42"/>
      <c r="D16" s="42"/>
      <c r="G16" s="42"/>
      <c r="I16" s="42"/>
    </row>
    <row r="17" spans="2:9" ht="21.6" thickBot="1">
      <c r="B17" s="13" t="s">
        <v>256</v>
      </c>
      <c r="C17" s="42"/>
      <c r="D17" s="42"/>
      <c r="E17" s="40" t="str">
        <f>+Operacion!H189</f>
        <v>Seleccione Verificador</v>
      </c>
      <c r="F17" s="45"/>
      <c r="G17" s="42"/>
      <c r="I17" s="42"/>
    </row>
    <row r="18" spans="2:9" ht="20.25" customHeight="1" thickBot="1">
      <c r="C18" s="42"/>
      <c r="D18" s="42"/>
      <c r="G18" s="42"/>
      <c r="I18" s="42"/>
    </row>
    <row r="19" spans="2:9" ht="21.6" thickBot="1">
      <c r="B19" s="13" t="s">
        <v>257</v>
      </c>
      <c r="C19" s="42"/>
      <c r="D19" s="42"/>
      <c r="E19" s="40" t="str">
        <f>+Operacion!K189</f>
        <v>Selección Operador</v>
      </c>
      <c r="F19" s="45"/>
      <c r="G19" s="42"/>
      <c r="I19" s="42"/>
    </row>
    <row r="20" spans="2:9" ht="20.25" customHeight="1" thickBot="1">
      <c r="C20" s="42"/>
      <c r="D20" s="42"/>
      <c r="G20" s="42"/>
      <c r="I20" s="42"/>
    </row>
    <row r="21" spans="2:9" ht="20.25" customHeight="1">
      <c r="B21" s="13" t="s">
        <v>258</v>
      </c>
      <c r="C21" s="53"/>
      <c r="D21" s="53"/>
      <c r="E21" s="213">
        <f>+Operacion!H185</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+Operacion!H186</f>
        <v>0</v>
      </c>
      <c r="F25" s="214"/>
      <c r="G25" s="214"/>
      <c r="H25" s="215"/>
      <c r="I25" s="42"/>
    </row>
    <row r="26" spans="2:9" ht="20.25" customHeight="1" thickBot="1">
      <c r="B26" s="6"/>
      <c r="C26" s="55"/>
      <c r="D26" s="55"/>
      <c r="E26" s="219">
        <f>+Operacion!L186</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+Operacion!H187</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+Operacion!H188</f>
        <v>0</v>
      </c>
      <c r="F32" s="214"/>
      <c r="G32" s="214"/>
      <c r="H32" s="215"/>
      <c r="I32" s="42"/>
    </row>
    <row r="33" spans="2:9" ht="20.25" customHeight="1" thickBot="1">
      <c r="B33" s="6"/>
      <c r="C33" s="55"/>
      <c r="D33" s="55"/>
      <c r="E33" s="219">
        <f>+Operacion!L188</f>
        <v>0</v>
      </c>
      <c r="F33" s="220"/>
      <c r="G33" s="220"/>
      <c r="H33" s="221"/>
      <c r="I33" s="42"/>
    </row>
    <row r="34" spans="2:9" ht="20.25" customHeight="1" thickBot="1">
      <c r="B34" s="6"/>
      <c r="C34" s="42"/>
      <c r="D34" s="42"/>
      <c r="E34" s="56"/>
      <c r="F34" s="55"/>
      <c r="G34" s="42"/>
      <c r="I34" s="42"/>
    </row>
    <row r="35" spans="2:9" ht="20.25" customHeight="1">
      <c r="B35" s="13" t="s">
        <v>260</v>
      </c>
      <c r="C35" s="53"/>
      <c r="D35" s="53"/>
      <c r="E35" s="204"/>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pWFvVMZzeGvITcRQRqlJAwShGi67pyrSLV7lE1qOadGrcfz6qy1DWTMjzkhPEn4ItsupJmdrc4JfRiZp0YvMlA==" saltValue="ZWqYR28IVccdGBYPexNTtA==" spinCount="100000" sheet="1" objects="1" scenarios="1"/>
  <dataConsolidate/>
  <mergeCells count="7">
    <mergeCell ref="E33:H33"/>
    <mergeCell ref="E35:H38"/>
    <mergeCell ref="E21:H23"/>
    <mergeCell ref="E25:H25"/>
    <mergeCell ref="E26:H26"/>
    <mergeCell ref="E28:H30"/>
    <mergeCell ref="E32:H32"/>
  </mergeCells>
  <pageMargins left="0.28000000000000003" right="0.12" top="0.64" bottom="1" header="0" footer="0"/>
  <pageSetup paperSize="9" scale="53" orientation="portrait" horizontalDpi="4294967293"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4">
    <tabColor rgb="FF0070C0"/>
    <pageSetUpPr fitToPage="1"/>
  </sheetPr>
  <dimension ref="A1:M43"/>
  <sheetViews>
    <sheetView showGridLines="0" topLeftCell="B27" zoomScaleNormal="100" workbookViewId="0">
      <selection activeCell="E35" sqref="E35:H38"/>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+Operacion!G192</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+Operacion!H193</f>
        <v>0</v>
      </c>
      <c r="F4" s="49"/>
      <c r="G4" s="13" t="s">
        <v>251</v>
      </c>
      <c r="H4" s="50">
        <f>+Operacion!L193</f>
        <v>0</v>
      </c>
      <c r="I4" s="43"/>
    </row>
    <row r="5" spans="2:13" ht="15.75" customHeight="1" thickBot="1">
      <c r="C5" s="42"/>
      <c r="D5" s="42"/>
      <c r="E5" s="43"/>
      <c r="F5" s="42"/>
      <c r="G5" s="42"/>
      <c r="I5" s="43"/>
    </row>
    <row r="6" spans="2:13" ht="26.45" thickBot="1">
      <c r="B6" s="13" t="s">
        <v>252</v>
      </c>
      <c r="D6" s="42"/>
      <c r="E6" s="37" t="str">
        <f>+Operacion!B193</f>
        <v>GDU504</v>
      </c>
      <c r="F6" s="20"/>
      <c r="G6" s="13" t="s">
        <v>239</v>
      </c>
      <c r="H6" s="23" t="str">
        <f>VLOOKUP(E6,tablaequipo,6)</f>
        <v>LIEBHERR</v>
      </c>
      <c r="I6" s="42"/>
    </row>
    <row r="7" spans="2:13" ht="15.75" customHeight="1">
      <c r="C7" s="42"/>
      <c r="D7" s="42"/>
      <c r="E7" s="23" t="str">
        <f>VLOOKUP(E6,tablaequipo,4)</f>
        <v>Grua</v>
      </c>
      <c r="F7" s="20"/>
      <c r="G7" s="13" t="s">
        <v>240</v>
      </c>
      <c r="H7" s="24" t="str">
        <f>VLOOKUP(E6,tablaequipo,7)</f>
        <v>LTM 1100</v>
      </c>
      <c r="I7" s="42"/>
      <c r="M7" s="57"/>
    </row>
    <row r="8" spans="2:13" ht="15.75" customHeight="1" thickBot="1">
      <c r="C8" s="42"/>
      <c r="D8" s="42"/>
      <c r="E8" s="25">
        <f>VLOOKUP(E6,tablaequipo,5)</f>
        <v>100</v>
      </c>
      <c r="F8" s="20"/>
      <c r="G8" s="13" t="s">
        <v>241</v>
      </c>
      <c r="H8" s="25">
        <f>VLOOKUP(E6,tablaequipo,8)</f>
        <v>0</v>
      </c>
      <c r="I8" s="42"/>
      <c r="M8" s="57"/>
    </row>
    <row r="9" spans="2:13" ht="16.5" customHeight="1" thickBot="1">
      <c r="C9" s="42"/>
      <c r="D9" s="42"/>
      <c r="E9" s="45"/>
      <c r="F9" s="51"/>
      <c r="G9" s="42"/>
      <c r="I9" s="42"/>
      <c r="M9" s="57" t="s">
        <v>253</v>
      </c>
    </row>
    <row r="10" spans="2:13" ht="21.6" thickBot="1">
      <c r="B10" s="13" t="s">
        <v>254</v>
      </c>
      <c r="C10" s="42"/>
      <c r="D10" s="42"/>
      <c r="E10" s="38">
        <f>+Operacion!D193</f>
        <v>0</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f>+Operacion!D194</f>
        <v>0</v>
      </c>
      <c r="F13" s="45"/>
      <c r="G13" s="52">
        <v>4</v>
      </c>
      <c r="H13" s="38">
        <f>+Operacion!D197</f>
        <v>0</v>
      </c>
      <c r="I13" s="42"/>
    </row>
    <row r="14" spans="2:13" ht="20.25" customHeight="1" thickBot="1">
      <c r="C14" s="42"/>
      <c r="D14" s="52">
        <v>2</v>
      </c>
      <c r="E14" s="38">
        <f>+Operacion!D195</f>
        <v>0</v>
      </c>
      <c r="F14" s="45"/>
      <c r="G14" s="52">
        <v>5</v>
      </c>
      <c r="H14" s="38">
        <f>+Operacion!D198</f>
        <v>0</v>
      </c>
      <c r="I14" s="42"/>
    </row>
    <row r="15" spans="2:13" ht="20.25" customHeight="1" thickBot="1">
      <c r="C15" s="42"/>
      <c r="D15" s="52">
        <v>3</v>
      </c>
      <c r="E15" s="38">
        <f>+Operacion!D196</f>
        <v>0</v>
      </c>
      <c r="F15" s="45"/>
      <c r="G15" s="52">
        <v>6</v>
      </c>
      <c r="H15" s="38">
        <f>+Operacion!D199</f>
        <v>0</v>
      </c>
      <c r="I15" s="42"/>
    </row>
    <row r="16" spans="2:13" ht="20.25" customHeight="1" thickBot="1">
      <c r="C16" s="42"/>
      <c r="D16" s="42"/>
      <c r="G16" s="42"/>
      <c r="I16" s="42"/>
    </row>
    <row r="17" spans="2:9" ht="21.6" thickBot="1">
      <c r="B17" s="13" t="s">
        <v>256</v>
      </c>
      <c r="C17" s="42"/>
      <c r="D17" s="42"/>
      <c r="E17" s="40" t="str">
        <f>+Operacion!H198</f>
        <v>Seleccione Verificador</v>
      </c>
      <c r="F17" s="45"/>
      <c r="G17" s="42"/>
      <c r="I17" s="42"/>
    </row>
    <row r="18" spans="2:9" ht="20.25" customHeight="1" thickBot="1">
      <c r="C18" s="42"/>
      <c r="D18" s="42"/>
      <c r="G18" s="42"/>
      <c r="I18" s="42"/>
    </row>
    <row r="19" spans="2:9" ht="21.6" thickBot="1">
      <c r="B19" s="13" t="s">
        <v>257</v>
      </c>
      <c r="C19" s="42"/>
      <c r="D19" s="42"/>
      <c r="E19" s="40" t="str">
        <f>+Operacion!K198</f>
        <v>Selección Operador</v>
      </c>
      <c r="F19" s="45"/>
      <c r="G19" s="42"/>
      <c r="I19" s="42"/>
    </row>
    <row r="20" spans="2:9" ht="20.25" customHeight="1" thickBot="1">
      <c r="C20" s="42"/>
      <c r="D20" s="42"/>
      <c r="G20" s="42"/>
      <c r="I20" s="42"/>
    </row>
    <row r="21" spans="2:9" ht="20.25" customHeight="1">
      <c r="B21" s="13" t="s">
        <v>258</v>
      </c>
      <c r="C21" s="53"/>
      <c r="D21" s="53"/>
      <c r="E21" s="213">
        <f>+Operacion!H194</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+Operacion!H195</f>
        <v>0</v>
      </c>
      <c r="F25" s="214"/>
      <c r="G25" s="214"/>
      <c r="H25" s="215"/>
      <c r="I25" s="42"/>
    </row>
    <row r="26" spans="2:9" ht="20.25" customHeight="1" thickBot="1">
      <c r="B26" s="6"/>
      <c r="C26" s="55"/>
      <c r="D26" s="55"/>
      <c r="E26" s="219">
        <f>+Operacion!L195</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+Operacion!H196</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+Operacion!H197</f>
        <v>0</v>
      </c>
      <c r="F32" s="214"/>
      <c r="G32" s="214"/>
      <c r="H32" s="215"/>
      <c r="I32" s="42"/>
    </row>
    <row r="33" spans="2:9" ht="20.25" customHeight="1" thickBot="1">
      <c r="B33" s="6"/>
      <c r="C33" s="55"/>
      <c r="D33" s="55"/>
      <c r="E33" s="219">
        <f>+Operacion!L197</f>
        <v>0</v>
      </c>
      <c r="F33" s="220"/>
      <c r="G33" s="220"/>
      <c r="H33" s="221"/>
      <c r="I33" s="42"/>
    </row>
    <row r="34" spans="2:9" ht="20.25" customHeight="1" thickBot="1">
      <c r="B34" s="6"/>
      <c r="C34" s="42"/>
      <c r="D34" s="42"/>
      <c r="E34" s="56"/>
      <c r="F34" s="55"/>
      <c r="G34" s="42"/>
      <c r="I34" s="42"/>
    </row>
    <row r="35" spans="2:9" ht="20.25" customHeight="1">
      <c r="B35" s="13" t="s">
        <v>260</v>
      </c>
      <c r="C35" s="53"/>
      <c r="D35" s="53"/>
      <c r="E35" s="204"/>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chgKauYnmsI+Nub87WOQv+469FB6rELzZZoZ3Dx65j00rRYei/EA4w5w6TwZh4rCPQwNJuM8asS3oKpbx0ahYg==" saltValue="8zcNtIXja/mVROCRa3pkPA==" spinCount="100000" sheet="1" objects="1" scenarios="1"/>
  <dataConsolidate/>
  <mergeCells count="7">
    <mergeCell ref="E21:H23"/>
    <mergeCell ref="E28:H30"/>
    <mergeCell ref="E35:H38"/>
    <mergeCell ref="E25:H25"/>
    <mergeCell ref="E26:H26"/>
    <mergeCell ref="E32:H32"/>
    <mergeCell ref="E33:H33"/>
  </mergeCells>
  <pageMargins left="0.28000000000000003" right="0.12" top="0.64" bottom="1" header="0" footer="0"/>
  <pageSetup paperSize="9" scale="53" orientation="portrait" horizontalDpi="4294967293"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3">
    <tabColor rgb="FF0070C0"/>
    <pageSetUpPr fitToPage="1"/>
  </sheetPr>
  <dimension ref="A1:M43"/>
  <sheetViews>
    <sheetView showGridLines="0" topLeftCell="B3" zoomScaleNormal="100" workbookViewId="0">
      <selection activeCell="H47" sqref="H47"/>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+Operacion!G201</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+Operacion!H202</f>
        <v>0</v>
      </c>
      <c r="F4" s="49"/>
      <c r="G4" s="13" t="s">
        <v>251</v>
      </c>
      <c r="H4" s="50">
        <f>+Operacion!L202</f>
        <v>0</v>
      </c>
      <c r="I4" s="43"/>
    </row>
    <row r="5" spans="2:13" ht="15.75" customHeight="1" thickBot="1">
      <c r="C5" s="42"/>
      <c r="D5" s="42"/>
      <c r="E5" s="43"/>
      <c r="F5" s="42"/>
      <c r="G5" s="42"/>
      <c r="I5" s="43"/>
    </row>
    <row r="6" spans="2:13" ht="26.45" thickBot="1">
      <c r="B6" s="13" t="s">
        <v>252</v>
      </c>
      <c r="D6" s="42"/>
      <c r="E6" s="37" t="str">
        <f>+Operacion!B202</f>
        <v>GDU505</v>
      </c>
      <c r="F6" s="20"/>
      <c r="G6" s="13" t="s">
        <v>239</v>
      </c>
      <c r="H6" s="23" t="str">
        <f>VLOOKUP(E6,tablaequipo,6)</f>
        <v>LIEBHERR</v>
      </c>
      <c r="I6" s="42"/>
    </row>
    <row r="7" spans="2:13" ht="15.75" customHeight="1">
      <c r="C7" s="42"/>
      <c r="D7" s="42"/>
      <c r="E7" s="23" t="str">
        <f>VLOOKUP(E6,tablaequipo,4)</f>
        <v>Grua</v>
      </c>
      <c r="F7" s="20"/>
      <c r="G7" s="13" t="s">
        <v>240</v>
      </c>
      <c r="H7" s="24" t="str">
        <f>VLOOKUP(E6,tablaequipo,7)</f>
        <v>LTM 1250</v>
      </c>
      <c r="I7" s="42"/>
      <c r="M7" s="57"/>
    </row>
    <row r="8" spans="2:13" ht="15.75" customHeight="1" thickBot="1">
      <c r="C8" s="42"/>
      <c r="D8" s="42"/>
      <c r="E8" s="25">
        <f>VLOOKUP(E6,tablaequipo,5)</f>
        <v>250</v>
      </c>
      <c r="F8" s="20"/>
      <c r="G8" s="13" t="s">
        <v>241</v>
      </c>
      <c r="H8" s="25">
        <f>VLOOKUP(E6,tablaequipo,8)</f>
        <v>0</v>
      </c>
      <c r="I8" s="42"/>
      <c r="M8" s="57"/>
    </row>
    <row r="9" spans="2:13" ht="16.5" customHeight="1" thickBot="1">
      <c r="C9" s="42"/>
      <c r="D9" s="42"/>
      <c r="E9" s="45"/>
      <c r="F9" s="51"/>
      <c r="G9" s="42"/>
      <c r="I9" s="42"/>
      <c r="M9" s="57" t="s">
        <v>253</v>
      </c>
    </row>
    <row r="10" spans="2:13" ht="21.6" thickBot="1">
      <c r="B10" s="13" t="s">
        <v>254</v>
      </c>
      <c r="C10" s="42"/>
      <c r="D10" s="42"/>
      <c r="E10" s="38">
        <f>+Operacion!D202</f>
        <v>0</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f>+Operacion!D203</f>
        <v>0</v>
      </c>
      <c r="F13" s="45"/>
      <c r="G13" s="52">
        <v>4</v>
      </c>
      <c r="H13" s="38">
        <f>+Operacion!D206</f>
        <v>0</v>
      </c>
      <c r="I13" s="42"/>
    </row>
    <row r="14" spans="2:13" ht="20.25" customHeight="1" thickBot="1">
      <c r="C14" s="42"/>
      <c r="D14" s="52">
        <v>2</v>
      </c>
      <c r="E14" s="38">
        <f>+Operacion!D204</f>
        <v>0</v>
      </c>
      <c r="F14" s="45"/>
      <c r="G14" s="52">
        <v>5</v>
      </c>
      <c r="H14" s="38">
        <f>+Operacion!D207</f>
        <v>0</v>
      </c>
      <c r="I14" s="42"/>
    </row>
    <row r="15" spans="2:13" ht="20.25" customHeight="1" thickBot="1">
      <c r="C15" s="42"/>
      <c r="D15" s="52">
        <v>3</v>
      </c>
      <c r="E15" s="38">
        <f>+Operacion!D205</f>
        <v>0</v>
      </c>
      <c r="F15" s="45"/>
      <c r="G15" s="52">
        <v>6</v>
      </c>
      <c r="H15" s="38">
        <f>+Operacion!D208</f>
        <v>0</v>
      </c>
      <c r="I15" s="42"/>
    </row>
    <row r="16" spans="2:13" ht="20.25" customHeight="1" thickBot="1">
      <c r="C16" s="42"/>
      <c r="D16" s="42"/>
      <c r="G16" s="42"/>
      <c r="I16" s="42"/>
    </row>
    <row r="17" spans="2:9" ht="21.6" thickBot="1">
      <c r="B17" s="13" t="s">
        <v>256</v>
      </c>
      <c r="C17" s="42"/>
      <c r="D17" s="42"/>
      <c r="E17" s="40" t="str">
        <f>+Operacion!H207</f>
        <v>Seleccione Verificador</v>
      </c>
      <c r="F17" s="45"/>
      <c r="G17" s="42"/>
      <c r="I17" s="42"/>
    </row>
    <row r="18" spans="2:9" ht="20.25" customHeight="1" thickBot="1">
      <c r="C18" s="42"/>
      <c r="D18" s="42"/>
      <c r="G18" s="42"/>
      <c r="I18" s="42"/>
    </row>
    <row r="19" spans="2:9" ht="21.6" thickBot="1">
      <c r="B19" s="13" t="s">
        <v>257</v>
      </c>
      <c r="C19" s="42"/>
      <c r="D19" s="42"/>
      <c r="E19" s="40" t="str">
        <f>+Operacion!K207</f>
        <v>Selección Operador</v>
      </c>
      <c r="F19" s="45"/>
      <c r="G19" s="42"/>
      <c r="I19" s="42"/>
    </row>
    <row r="20" spans="2:9" ht="20.25" customHeight="1" thickBot="1">
      <c r="C20" s="42"/>
      <c r="D20" s="42"/>
      <c r="G20" s="42"/>
      <c r="I20" s="42"/>
    </row>
    <row r="21" spans="2:9" ht="20.25" customHeight="1">
      <c r="B21" s="13" t="s">
        <v>258</v>
      </c>
      <c r="C21" s="53"/>
      <c r="D21" s="53"/>
      <c r="E21" s="213">
        <f>+Operacion!H203</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+Operacion!H204</f>
        <v>0</v>
      </c>
      <c r="F25" s="214"/>
      <c r="G25" s="214"/>
      <c r="H25" s="215"/>
      <c r="I25" s="42"/>
    </row>
    <row r="26" spans="2:9" ht="20.25" customHeight="1" thickBot="1">
      <c r="B26" s="6"/>
      <c r="C26" s="55"/>
      <c r="D26" s="55"/>
      <c r="E26" s="219">
        <f>+Operacion!L204</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+Operacion!H205</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+Operacion!H206</f>
        <v>0</v>
      </c>
      <c r="F32" s="214"/>
      <c r="G32" s="214"/>
      <c r="H32" s="215"/>
      <c r="I32" s="42"/>
    </row>
    <row r="33" spans="2:9" ht="20.25" customHeight="1" thickBot="1">
      <c r="B33" s="6"/>
      <c r="C33" s="55"/>
      <c r="D33" s="55"/>
      <c r="E33" s="219">
        <f>+Operacion!L206</f>
        <v>0</v>
      </c>
      <c r="F33" s="220"/>
      <c r="G33" s="220"/>
      <c r="H33" s="221"/>
      <c r="I33" s="42"/>
    </row>
    <row r="34" spans="2:9" ht="20.25" customHeight="1" thickBot="1">
      <c r="B34" s="6"/>
      <c r="C34" s="42"/>
      <c r="D34" s="42"/>
      <c r="E34" s="56"/>
      <c r="F34" s="55"/>
      <c r="G34" s="42"/>
      <c r="I34" s="42"/>
    </row>
    <row r="35" spans="2:9" ht="20.25" customHeight="1">
      <c r="B35" s="13" t="s">
        <v>260</v>
      </c>
      <c r="C35" s="53"/>
      <c r="D35" s="53"/>
      <c r="E35" s="204"/>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YelqgJD9INST7fphlJvqFcMa71GDPtlb33WUra105H2KHhpMmuZrwzQR1O6jMqBbXuPXaAVQI7XaqoCbFe6bJw==" saltValue="LhUMdGGQDJlVZaXJ6+/zJA==" spinCount="100000" sheet="1" objects="1" scenarios="1"/>
  <dataConsolidate/>
  <mergeCells count="7">
    <mergeCell ref="E35:H38"/>
    <mergeCell ref="E21:H23"/>
    <mergeCell ref="E28:H30"/>
    <mergeCell ref="E25:H25"/>
    <mergeCell ref="E26:H26"/>
    <mergeCell ref="E32:H32"/>
    <mergeCell ref="E33:H33"/>
  </mergeCells>
  <pageMargins left="0.28000000000000003" right="0.12" top="0.64" bottom="1" header="0" footer="0"/>
  <pageSetup paperSize="9" scale="76" orientation="portrait" horizontalDpi="4294967293"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15">
    <tabColor rgb="FF0070C0"/>
    <pageSetUpPr fitToPage="1"/>
  </sheetPr>
  <dimension ref="A1:M43"/>
  <sheetViews>
    <sheetView showGridLines="0" topLeftCell="B13" zoomScaleNormal="100" workbookViewId="0">
      <selection activeCell="H40" sqref="H40"/>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+Operacion!G210</f>
        <v>Transporte Daniele</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t="str">
        <f>+Operacion!H211</f>
        <v xml:space="preserve">RECONSTRUCCION DE CAÑOS SA </v>
      </c>
      <c r="F4" s="49"/>
      <c r="G4" s="13" t="s">
        <v>251</v>
      </c>
      <c r="H4" s="50">
        <f>+Operacion!L211</f>
        <v>0.29166666666666669</v>
      </c>
      <c r="I4" s="43"/>
    </row>
    <row r="5" spans="2:13" ht="15.75" customHeight="1" thickBot="1">
      <c r="C5" s="42"/>
      <c r="D5" s="42"/>
      <c r="E5" s="43"/>
      <c r="F5" s="42"/>
      <c r="G5" s="42"/>
      <c r="I5" s="43"/>
    </row>
    <row r="6" spans="2:13" ht="26.45" thickBot="1">
      <c r="B6" s="13" t="s">
        <v>252</v>
      </c>
      <c r="D6" s="42"/>
      <c r="E6" s="175" t="str">
        <f>+Operacion!B211</f>
        <v>GDU510</v>
      </c>
      <c r="F6" s="20"/>
      <c r="G6" s="13" t="s">
        <v>239</v>
      </c>
      <c r="H6" s="23" t="str">
        <f>VLOOKUP(E6,tablaequipo,6)</f>
        <v>TADANO</v>
      </c>
      <c r="I6" s="42"/>
    </row>
    <row r="7" spans="2:13" ht="15.75" customHeight="1">
      <c r="C7" s="42"/>
      <c r="D7" s="42"/>
      <c r="E7" s="23" t="str">
        <f>VLOOKUP(E6,tablaequipo,4)</f>
        <v>Grua</v>
      </c>
      <c r="F7" s="20"/>
      <c r="G7" s="13" t="s">
        <v>240</v>
      </c>
      <c r="H7" s="24" t="str">
        <f>VLOOKUP(E6,tablaequipo,7)</f>
        <v>GR 300 EX</v>
      </c>
      <c r="I7" s="42"/>
      <c r="M7" s="57"/>
    </row>
    <row r="8" spans="2:13" ht="15.75" customHeight="1" thickBot="1">
      <c r="C8" s="42"/>
      <c r="D8" s="42"/>
      <c r="E8" s="25">
        <f>VLOOKUP(E6,tablaequipo,5)</f>
        <v>30</v>
      </c>
      <c r="F8" s="20"/>
      <c r="G8" s="13" t="s">
        <v>241</v>
      </c>
      <c r="H8" s="25" t="str">
        <f>VLOOKUP(E6,tablaequipo,8)</f>
        <v>BIA 75</v>
      </c>
      <c r="I8" s="42"/>
      <c r="M8" s="57"/>
    </row>
    <row r="9" spans="2:13" ht="16.5" customHeight="1" thickBot="1">
      <c r="C9" s="42"/>
      <c r="D9" s="42"/>
      <c r="E9" s="45"/>
      <c r="F9" s="51"/>
      <c r="G9" s="42"/>
      <c r="I9" s="42"/>
      <c r="M9" s="57" t="s">
        <v>253</v>
      </c>
    </row>
    <row r="10" spans="2:13" ht="21.6" thickBot="1">
      <c r="B10" s="13" t="s">
        <v>254</v>
      </c>
      <c r="C10" s="42"/>
      <c r="D10" s="42"/>
      <c r="E10" s="38" t="str">
        <f>+Operacion!D211</f>
        <v>Barreto Braian Jose</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f>+Operacion!D212</f>
        <v>0</v>
      </c>
      <c r="F13" s="45"/>
      <c r="G13" s="52">
        <v>4</v>
      </c>
      <c r="H13" s="38">
        <f>+Operacion!D215</f>
        <v>0</v>
      </c>
      <c r="I13" s="42"/>
    </row>
    <row r="14" spans="2:13" ht="20.25" customHeight="1" thickBot="1">
      <c r="C14" s="42"/>
      <c r="D14" s="52">
        <v>2</v>
      </c>
      <c r="E14" s="38">
        <f>+Operacion!D213</f>
        <v>0</v>
      </c>
      <c r="F14" s="45"/>
      <c r="G14" s="52">
        <v>5</v>
      </c>
      <c r="H14" s="38">
        <f>+Operacion!D216</f>
        <v>0</v>
      </c>
      <c r="I14" s="42"/>
    </row>
    <row r="15" spans="2:13" ht="20.25" customHeight="1" thickBot="1">
      <c r="C15" s="42"/>
      <c r="D15" s="52">
        <v>3</v>
      </c>
      <c r="E15" s="38">
        <f>+Operacion!D214</f>
        <v>0</v>
      </c>
      <c r="F15" s="45"/>
      <c r="G15" s="52">
        <v>6</v>
      </c>
      <c r="H15" s="38">
        <f>+Operacion!D217</f>
        <v>0</v>
      </c>
      <c r="I15" s="42"/>
    </row>
    <row r="16" spans="2:13" ht="20.25" customHeight="1" thickBot="1">
      <c r="C16" s="42"/>
      <c r="D16" s="42"/>
      <c r="G16" s="42"/>
      <c r="I16" s="42"/>
    </row>
    <row r="17" spans="2:9" ht="21.6" thickBot="1">
      <c r="B17" s="13" t="s">
        <v>256</v>
      </c>
      <c r="C17" s="42"/>
      <c r="D17" s="42"/>
      <c r="E17" s="40" t="str">
        <f>+Operacion!H216</f>
        <v>Seleccione Verificador</v>
      </c>
      <c r="F17" s="45"/>
      <c r="G17" s="42"/>
      <c r="I17" s="42"/>
    </row>
    <row r="18" spans="2:9" ht="20.25" customHeight="1" thickBot="1">
      <c r="C18" s="42"/>
      <c r="D18" s="42"/>
      <c r="G18" s="42"/>
      <c r="I18" s="42"/>
    </row>
    <row r="19" spans="2:9" ht="21.6" thickBot="1">
      <c r="B19" s="13" t="s">
        <v>257</v>
      </c>
      <c r="C19" s="42"/>
      <c r="D19" s="42"/>
      <c r="E19" s="40" t="str">
        <f>+Operacion!K216</f>
        <v>Recines Alejandro</v>
      </c>
      <c r="F19" s="45"/>
      <c r="G19" s="42"/>
      <c r="I19" s="42"/>
    </row>
    <row r="20" spans="2:9" ht="20.25" customHeight="1" thickBot="1">
      <c r="C20" s="42"/>
      <c r="D20" s="42"/>
      <c r="G20" s="42"/>
      <c r="I20" s="42"/>
    </row>
    <row r="21" spans="2:9" ht="20.25" customHeight="1">
      <c r="B21" s="13" t="s">
        <v>258</v>
      </c>
      <c r="C21" s="53"/>
      <c r="D21" s="53"/>
      <c r="E21" s="213" t="str">
        <f>+Operacion!H212</f>
        <v>AV ASTURIAS &amp; P° ISLAS MALVINAS, CABA (VER UBICACION)</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t="str">
        <f>+Operacion!H213</f>
        <v xml:space="preserve">SEBASTIAN </v>
      </c>
      <c r="F25" s="214"/>
      <c r="G25" s="214"/>
      <c r="H25" s="215"/>
      <c r="I25" s="42"/>
    </row>
    <row r="26" spans="2:9" ht="20.25" customHeight="1" thickBot="1">
      <c r="B26" s="6"/>
      <c r="C26" s="55"/>
      <c r="D26" s="55"/>
      <c r="E26" s="219" t="str">
        <f>+Operacion!L213</f>
        <v>11 5126-8172</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+Operacion!H214</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+Operacion!H215</f>
        <v>0</v>
      </c>
      <c r="F32" s="214"/>
      <c r="G32" s="214"/>
      <c r="H32" s="215"/>
      <c r="I32" s="42"/>
    </row>
    <row r="33" spans="2:9" ht="20.25" customHeight="1" thickBot="1">
      <c r="B33" s="6"/>
      <c r="C33" s="55"/>
      <c r="D33" s="55"/>
      <c r="E33" s="219">
        <f>+Operacion!L215</f>
        <v>0</v>
      </c>
      <c r="F33" s="220"/>
      <c r="G33" s="220"/>
      <c r="H33" s="221"/>
      <c r="I33" s="42"/>
    </row>
    <row r="34" spans="2:9" ht="20.25" customHeight="1" thickBot="1">
      <c r="B34" s="6"/>
      <c r="C34" s="42"/>
      <c r="D34" s="42"/>
      <c r="E34" s="56"/>
      <c r="F34" s="55"/>
      <c r="G34" s="42"/>
      <c r="I34" s="42"/>
    </row>
    <row r="35" spans="2:9" ht="20.25" customHeight="1">
      <c r="B35" s="13" t="s">
        <v>260</v>
      </c>
      <c r="C35" s="53"/>
      <c r="D35" s="53"/>
      <c r="E35" s="204"/>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KWXWUDoqporp6xncRzpMWdbE9f+6EgxDyVjlVNQunSc63ez211AaveJzloojL7q8jmlg5OC+1hrF53mtiniuow==" saltValue="txc5fG7zPYePVeAjxClbiQ==" spinCount="100000" sheet="1" objects="1" scenarios="1"/>
  <dataConsolidate/>
  <mergeCells count="7">
    <mergeCell ref="E21:H23"/>
    <mergeCell ref="E28:H30"/>
    <mergeCell ref="E35:H38"/>
    <mergeCell ref="E25:H25"/>
    <mergeCell ref="E26:H26"/>
    <mergeCell ref="E32:H32"/>
    <mergeCell ref="E33:H33"/>
  </mergeCells>
  <pageMargins left="0.28000000000000003" right="0.12" top="0.64" bottom="1" header="0" footer="0"/>
  <pageSetup paperSize="9" scale="53" orientation="portrait" horizontalDpi="4294967293"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27">
    <tabColor rgb="FF0070C0"/>
    <pageSetUpPr fitToPage="1"/>
  </sheetPr>
  <dimension ref="A1:M43"/>
  <sheetViews>
    <sheetView showGridLines="0" topLeftCell="B1" zoomScaleNormal="100" workbookViewId="0">
      <selection activeCell="E35" sqref="E35:H38"/>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+Operacion!G219</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+Operacion!H220</f>
        <v>0</v>
      </c>
      <c r="F4" s="49"/>
      <c r="G4" s="13" t="s">
        <v>251</v>
      </c>
      <c r="H4" s="50">
        <f>+Operacion!L220</f>
        <v>0</v>
      </c>
      <c r="I4" s="43"/>
    </row>
    <row r="5" spans="2:13" ht="15.75" customHeight="1" thickBot="1">
      <c r="C5" s="42"/>
      <c r="D5" s="42"/>
      <c r="E5" s="43"/>
      <c r="F5" s="42"/>
      <c r="G5" s="42"/>
      <c r="I5" s="43"/>
    </row>
    <row r="6" spans="2:13" ht="26.45" thickBot="1">
      <c r="B6" s="13" t="s">
        <v>252</v>
      </c>
      <c r="D6" s="42"/>
      <c r="E6" s="37" t="str">
        <f>+Operacion!B220</f>
        <v>GDU516</v>
      </c>
      <c r="F6" s="20"/>
      <c r="G6" s="13" t="s">
        <v>239</v>
      </c>
      <c r="H6" s="23" t="str">
        <f>VLOOKUP(E6,tablaequipo,6)</f>
        <v>GROVE</v>
      </c>
      <c r="I6" s="42"/>
    </row>
    <row r="7" spans="2:13" ht="15.75" customHeight="1">
      <c r="C7" s="42"/>
      <c r="D7" s="42"/>
      <c r="E7" s="23" t="str">
        <f>VLOOKUP(E6,tablaequipo,4)</f>
        <v>Grua</v>
      </c>
      <c r="F7" s="20"/>
      <c r="G7" s="13" t="s">
        <v>240</v>
      </c>
      <c r="H7" s="24" t="str">
        <f>VLOOKUP(E6,tablaequipo,7)</f>
        <v>GMK 2035</v>
      </c>
      <c r="I7" s="42"/>
      <c r="M7" s="57"/>
    </row>
    <row r="8" spans="2:13" ht="15.75" customHeight="1" thickBot="1">
      <c r="C8" s="42"/>
      <c r="D8" s="42"/>
      <c r="E8" s="25">
        <f>VLOOKUP(E6,tablaequipo,5)</f>
        <v>35</v>
      </c>
      <c r="F8" s="20"/>
      <c r="G8" s="13" t="s">
        <v>241</v>
      </c>
      <c r="H8" s="25" t="str">
        <f>VLOOKUP(E6,tablaequipo,8)</f>
        <v>AG897CG</v>
      </c>
      <c r="I8" s="42"/>
      <c r="M8" s="57"/>
    </row>
    <row r="9" spans="2:13" ht="16.5" customHeight="1" thickBot="1">
      <c r="C9" s="42"/>
      <c r="D9" s="42"/>
      <c r="E9" s="45"/>
      <c r="F9" s="51"/>
      <c r="G9" s="42"/>
      <c r="I9" s="42"/>
      <c r="M9" s="57" t="s">
        <v>253</v>
      </c>
    </row>
    <row r="10" spans="2:13" ht="21.6" thickBot="1">
      <c r="B10" s="13" t="s">
        <v>254</v>
      </c>
      <c r="C10" s="42"/>
      <c r="D10" s="42"/>
      <c r="E10" s="38">
        <f>+Operacion!D220</f>
        <v>0</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f>+Operacion!D221</f>
        <v>0</v>
      </c>
      <c r="F13" s="45"/>
      <c r="G13" s="52">
        <v>4</v>
      </c>
      <c r="H13" s="38">
        <f>+Operacion!D224</f>
        <v>0</v>
      </c>
      <c r="I13" s="42"/>
    </row>
    <row r="14" spans="2:13" ht="20.25" customHeight="1" thickBot="1">
      <c r="C14" s="42"/>
      <c r="D14" s="52">
        <v>2</v>
      </c>
      <c r="E14" s="38">
        <f>+Operacion!D222</f>
        <v>0</v>
      </c>
      <c r="F14" s="45"/>
      <c r="G14" s="52">
        <v>5</v>
      </c>
      <c r="H14" s="38">
        <f>+Operacion!D225</f>
        <v>0</v>
      </c>
      <c r="I14" s="42"/>
    </row>
    <row r="15" spans="2:13" ht="20.25" customHeight="1" thickBot="1">
      <c r="C15" s="42"/>
      <c r="D15" s="52">
        <v>3</v>
      </c>
      <c r="E15" s="38">
        <f>+Operacion!D223</f>
        <v>0</v>
      </c>
      <c r="F15" s="45"/>
      <c r="G15" s="52">
        <v>6</v>
      </c>
      <c r="H15" s="38">
        <f>+Operacion!D226</f>
        <v>0</v>
      </c>
      <c r="I15" s="42"/>
    </row>
    <row r="16" spans="2:13" ht="20.25" customHeight="1" thickBot="1">
      <c r="C16" s="42"/>
      <c r="D16" s="42"/>
      <c r="G16" s="42"/>
      <c r="I16" s="42"/>
    </row>
    <row r="17" spans="2:9" ht="21.6" thickBot="1">
      <c r="B17" s="13" t="s">
        <v>256</v>
      </c>
      <c r="C17" s="42"/>
      <c r="D17" s="42"/>
      <c r="E17" s="40" t="str">
        <f>+Operacion!H225</f>
        <v>Seleccione Verificador</v>
      </c>
      <c r="F17" s="45"/>
      <c r="G17" s="42"/>
      <c r="I17" s="42"/>
    </row>
    <row r="18" spans="2:9" ht="20.25" customHeight="1" thickBot="1">
      <c r="C18" s="42"/>
      <c r="D18" s="42"/>
      <c r="G18" s="42"/>
      <c r="I18" s="42"/>
    </row>
    <row r="19" spans="2:9" ht="21.6" thickBot="1">
      <c r="B19" s="13" t="s">
        <v>257</v>
      </c>
      <c r="C19" s="42"/>
      <c r="D19" s="42"/>
      <c r="E19" s="40" t="str">
        <f>+Operacion!K225</f>
        <v>Selección Operador</v>
      </c>
      <c r="F19" s="45"/>
      <c r="G19" s="42"/>
      <c r="I19" s="42"/>
    </row>
    <row r="20" spans="2:9" ht="20.25" customHeight="1" thickBot="1">
      <c r="C20" s="42"/>
      <c r="D20" s="42"/>
      <c r="G20" s="42"/>
      <c r="I20" s="42"/>
    </row>
    <row r="21" spans="2:9" ht="20.25" customHeight="1">
      <c r="B21" s="13" t="s">
        <v>258</v>
      </c>
      <c r="C21" s="53"/>
      <c r="D21" s="53"/>
      <c r="E21" s="213">
        <f>+Operacion!H221</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+Operacion!H222</f>
        <v>0</v>
      </c>
      <c r="F25" s="214"/>
      <c r="G25" s="214"/>
      <c r="H25" s="215"/>
      <c r="I25" s="42"/>
    </row>
    <row r="26" spans="2:9" ht="20.25" customHeight="1" thickBot="1">
      <c r="B26" s="6"/>
      <c r="C26" s="55"/>
      <c r="D26" s="55"/>
      <c r="E26" s="219">
        <f>+Operacion!L222</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+Operacion!H223</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+Operacion!H224</f>
        <v>0</v>
      </c>
      <c r="F32" s="214"/>
      <c r="G32" s="214"/>
      <c r="H32" s="215"/>
      <c r="I32" s="42"/>
    </row>
    <row r="33" spans="2:9" ht="20.25" customHeight="1" thickBot="1">
      <c r="B33" s="6"/>
      <c r="C33" s="55"/>
      <c r="D33" s="55"/>
      <c r="E33" s="219">
        <f>+Operacion!L224</f>
        <v>0</v>
      </c>
      <c r="F33" s="220"/>
      <c r="G33" s="220"/>
      <c r="H33" s="221"/>
      <c r="I33" s="42"/>
    </row>
    <row r="34" spans="2:9" ht="20.25" customHeight="1" thickBot="1">
      <c r="B34" s="6"/>
      <c r="C34" s="42"/>
      <c r="D34" s="42"/>
      <c r="E34" s="56"/>
      <c r="F34" s="55"/>
      <c r="G34" s="42"/>
      <c r="I34" s="42"/>
    </row>
    <row r="35" spans="2:9" ht="20.25" customHeight="1">
      <c r="B35" s="13" t="s">
        <v>260</v>
      </c>
      <c r="C35" s="53"/>
      <c r="D35" s="53"/>
      <c r="E35" s="204"/>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RWljPLHfcpSCVtC+ov0OlZrupYcKigbzXbYdgCYbqZKr66ak/5Jv2Z4Tj3sCntar9XR182B3sMSeZ7dw/mbFwg==" saltValue="YtKcRr4XJjFuHlRBM7RLvA==" spinCount="100000" sheet="1" objects="1" scenarios="1"/>
  <dataConsolidate/>
  <mergeCells count="7">
    <mergeCell ref="E21:H23"/>
    <mergeCell ref="E28:H30"/>
    <mergeCell ref="E35:H38"/>
    <mergeCell ref="E25:H25"/>
    <mergeCell ref="E26:H26"/>
    <mergeCell ref="E32:H32"/>
    <mergeCell ref="E33:H33"/>
  </mergeCells>
  <pageMargins left="0.28000000000000003" right="0.12" top="0.64" bottom="1" header="0" footer="0"/>
  <pageSetup paperSize="9" scale="53" orientation="portrait" horizontalDpi="4294967293"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37">
    <tabColor rgb="FF0070C0"/>
    <pageSetUpPr fitToPage="1"/>
  </sheetPr>
  <dimension ref="A1:M43"/>
  <sheetViews>
    <sheetView showGridLines="0" topLeftCell="B8" zoomScaleNormal="100" workbookViewId="0">
      <selection activeCell="E41" sqref="E41"/>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+Operacion!G228</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+Operacion!H229</f>
        <v>0</v>
      </c>
      <c r="F4" s="49"/>
      <c r="G4" s="13" t="s">
        <v>251</v>
      </c>
      <c r="H4" s="50">
        <f>+Operacion!L229</f>
        <v>0</v>
      </c>
      <c r="I4" s="43"/>
    </row>
    <row r="5" spans="2:13" ht="15.75" customHeight="1" thickBot="1">
      <c r="C5" s="42"/>
      <c r="D5" s="42"/>
      <c r="E5" s="43"/>
      <c r="F5" s="42"/>
      <c r="G5" s="42"/>
      <c r="I5" s="43"/>
    </row>
    <row r="6" spans="2:13" ht="26.45" thickBot="1">
      <c r="B6" s="13" t="s">
        <v>252</v>
      </c>
      <c r="D6" s="42"/>
      <c r="E6" s="37" t="str">
        <f>+Operacion!B229</f>
        <v>GDU517</v>
      </c>
      <c r="F6" s="20"/>
      <c r="G6" s="13" t="s">
        <v>239</v>
      </c>
      <c r="H6" s="23" t="str">
        <f>VLOOKUP(E6,tablaequipo,6)</f>
        <v>GROVE</v>
      </c>
      <c r="I6" s="42"/>
    </row>
    <row r="7" spans="2:13" ht="15.75" customHeight="1">
      <c r="C7" s="42"/>
      <c r="D7" s="42"/>
      <c r="E7" s="23" t="str">
        <f>VLOOKUP(E6,tablaequipo,4)</f>
        <v>Grua</v>
      </c>
      <c r="F7" s="20"/>
      <c r="G7" s="13" t="s">
        <v>240</v>
      </c>
      <c r="H7" s="24" t="str">
        <f>VLOOKUP(E6,tablaequipo,7)</f>
        <v>GMK 5130</v>
      </c>
      <c r="I7" s="42"/>
      <c r="M7" s="57"/>
    </row>
    <row r="8" spans="2:13" ht="15.75" customHeight="1" thickBot="1">
      <c r="C8" s="42"/>
      <c r="D8" s="42"/>
      <c r="E8" s="25">
        <f>VLOOKUP(E6,tablaequipo,5)</f>
        <v>130</v>
      </c>
      <c r="F8" s="20"/>
      <c r="G8" s="13" t="s">
        <v>241</v>
      </c>
      <c r="H8" s="25" t="str">
        <f>VLOOKUP(E6,tablaequipo,8)</f>
        <v>-</v>
      </c>
      <c r="I8" s="42"/>
      <c r="M8" s="57"/>
    </row>
    <row r="9" spans="2:13" ht="16.5" customHeight="1" thickBot="1">
      <c r="C9" s="42"/>
      <c r="D9" s="42"/>
      <c r="E9" s="45"/>
      <c r="F9" s="51"/>
      <c r="G9" s="42"/>
      <c r="I9" s="42"/>
      <c r="M9" s="57" t="s">
        <v>253</v>
      </c>
    </row>
    <row r="10" spans="2:13" ht="21.6" thickBot="1">
      <c r="B10" s="13" t="s">
        <v>254</v>
      </c>
      <c r="C10" s="42"/>
      <c r="D10" s="42"/>
      <c r="E10" s="38">
        <f>+Operacion!D229</f>
        <v>0</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f>+Operacion!D230</f>
        <v>0</v>
      </c>
      <c r="F13" s="45"/>
      <c r="G13" s="52">
        <v>4</v>
      </c>
      <c r="H13" s="38">
        <f>+Operacion!D233</f>
        <v>0</v>
      </c>
      <c r="I13" s="42"/>
    </row>
    <row r="14" spans="2:13" ht="20.25" customHeight="1" thickBot="1">
      <c r="C14" s="42"/>
      <c r="D14" s="52">
        <v>2</v>
      </c>
      <c r="E14" s="38">
        <f>+Operacion!D231</f>
        <v>0</v>
      </c>
      <c r="F14" s="45"/>
      <c r="G14" s="52">
        <v>5</v>
      </c>
      <c r="H14" s="38">
        <f>+Operacion!D234</f>
        <v>0</v>
      </c>
      <c r="I14" s="42"/>
    </row>
    <row r="15" spans="2:13" ht="20.25" customHeight="1" thickBot="1">
      <c r="C15" s="42"/>
      <c r="D15" s="52">
        <v>3</v>
      </c>
      <c r="E15" s="38">
        <f>+Operacion!D232</f>
        <v>0</v>
      </c>
      <c r="F15" s="45"/>
      <c r="G15" s="52">
        <v>6</v>
      </c>
      <c r="H15" s="38">
        <f>+Operacion!D235</f>
        <v>0</v>
      </c>
      <c r="I15" s="42"/>
    </row>
    <row r="16" spans="2:13" ht="20.25" customHeight="1" thickBot="1">
      <c r="C16" s="42"/>
      <c r="D16" s="42"/>
      <c r="G16" s="42"/>
      <c r="I16" s="42"/>
    </row>
    <row r="17" spans="2:9" ht="21.6" thickBot="1">
      <c r="B17" s="13" t="s">
        <v>256</v>
      </c>
      <c r="C17" s="42"/>
      <c r="D17" s="42"/>
      <c r="E17" s="40" t="str">
        <f>+Operacion!H234</f>
        <v>Seleccione Verificador</v>
      </c>
      <c r="F17" s="45"/>
      <c r="G17" s="42"/>
      <c r="I17" s="42"/>
    </row>
    <row r="18" spans="2:9" ht="20.25" customHeight="1" thickBot="1">
      <c r="C18" s="42"/>
      <c r="D18" s="42"/>
      <c r="G18" s="42"/>
      <c r="I18" s="42"/>
    </row>
    <row r="19" spans="2:9" ht="21.6" thickBot="1">
      <c r="B19" s="13" t="s">
        <v>257</v>
      </c>
      <c r="C19" s="42"/>
      <c r="D19" s="42"/>
      <c r="E19" s="40" t="str">
        <f>+Operacion!K234</f>
        <v>Selección Operador</v>
      </c>
      <c r="F19" s="45"/>
      <c r="G19" s="42"/>
      <c r="I19" s="42"/>
    </row>
    <row r="20" spans="2:9" ht="20.25" customHeight="1" thickBot="1">
      <c r="C20" s="42"/>
      <c r="D20" s="42"/>
      <c r="G20" s="42"/>
      <c r="I20" s="42"/>
    </row>
    <row r="21" spans="2:9" ht="20.25" customHeight="1">
      <c r="B21" s="13" t="s">
        <v>258</v>
      </c>
      <c r="C21" s="53"/>
      <c r="D21" s="53"/>
      <c r="E21" s="213">
        <f>+Operacion!H230</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+Operacion!H231</f>
        <v>0</v>
      </c>
      <c r="F25" s="214"/>
      <c r="G25" s="214"/>
      <c r="H25" s="215"/>
      <c r="I25" s="42"/>
    </row>
    <row r="26" spans="2:9" ht="20.25" customHeight="1" thickBot="1">
      <c r="B26" s="6"/>
      <c r="C26" s="55"/>
      <c r="D26" s="55"/>
      <c r="E26" s="219">
        <f>+Operacion!L231</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+Operacion!H232</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+Operacion!H233</f>
        <v>0</v>
      </c>
      <c r="F32" s="214"/>
      <c r="G32" s="214"/>
      <c r="H32" s="215"/>
      <c r="I32" s="42"/>
    </row>
    <row r="33" spans="2:9" ht="20.25" customHeight="1" thickBot="1">
      <c r="B33" s="6"/>
      <c r="C33" s="55"/>
      <c r="D33" s="55"/>
      <c r="E33" s="219">
        <f>+Operacion!L233</f>
        <v>0</v>
      </c>
      <c r="F33" s="220"/>
      <c r="G33" s="220"/>
      <c r="H33" s="221"/>
      <c r="I33" s="42"/>
    </row>
    <row r="34" spans="2:9" ht="20.25" customHeight="1" thickBot="1">
      <c r="B34" s="6"/>
      <c r="C34" s="42"/>
      <c r="D34" s="42"/>
      <c r="E34" s="56"/>
      <c r="F34" s="55"/>
      <c r="G34" s="42"/>
      <c r="I34" s="42"/>
    </row>
    <row r="35" spans="2:9" ht="20.25" customHeight="1">
      <c r="B35" s="13" t="s">
        <v>260</v>
      </c>
      <c r="C35" s="53"/>
      <c r="D35" s="53"/>
      <c r="E35" s="204" t="s">
        <v>263</v>
      </c>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vUvsJ1dkNtmFUlll9XcBa7TAQ7T4xvaJfoDRRgYNx4Zr7uSbSF89v1VRSqhPTHBxV3KyLONiHpgUFHMeKoeyHg==" saltValue="aIJq+j0L1jos1gBMQxiGnA==" spinCount="100000" sheet="1" objects="1" scenarios="1"/>
  <dataConsolidate/>
  <mergeCells count="7">
    <mergeCell ref="E35:H38"/>
    <mergeCell ref="E21:H23"/>
    <mergeCell ref="E25:H25"/>
    <mergeCell ref="E26:H26"/>
    <mergeCell ref="E28:H30"/>
    <mergeCell ref="E32:H32"/>
    <mergeCell ref="E33:H33"/>
  </mergeCells>
  <dataValidations count="2">
    <dataValidation type="list" allowBlank="1" showInputMessage="1" showErrorMessage="1" sqref="F10" xr:uid="{00000000-0002-0000-1F00-000000000000}">
      <formula1>$D$2:$D$47</formula1>
    </dataValidation>
    <dataValidation type="list" allowBlank="1" showInputMessage="1" showErrorMessage="1" sqref="E6" xr:uid="{00000000-0002-0000-1F00-000001000000}">
      <formula1>unidad</formula1>
    </dataValidation>
  </dataValidations>
  <pageMargins left="0.28000000000000003" right="0.12" top="0.64" bottom="1" header="0" footer="0"/>
  <pageSetup paperSize="9" scale="53" orientation="portrait" horizontalDpi="4294967293" r:id="rId1"/>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F00-000002000000}">
          <x14:formula1>
            <xm:f>Empresas!$C$2:$C$10</xm:f>
          </x14:formula1>
          <xm:sqref>E2:F2</xm:sqref>
        </x14:dataValidation>
        <x14:dataValidation type="list" allowBlank="1" showInputMessage="1" showErrorMessage="1" xr:uid="{00000000-0002-0000-1F00-000003000000}">
          <x14:formula1>
            <xm:f>Verificador!$D$3:$D$8</xm:f>
          </x14:formula1>
          <xm:sqref>F17</xm:sqref>
        </x14:dataValidation>
        <x14:dataValidation type="list" allowBlank="1" showInputMessage="1" showErrorMessage="1" xr:uid="{00000000-0002-0000-1F00-000004000000}">
          <x14:formula1>
            <xm:f>Operador!$D$5:$D$7</xm:f>
          </x14:formula1>
          <xm:sqref>F19</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4">
    <tabColor rgb="FF0070C0"/>
    <pageSetUpPr fitToPage="1"/>
  </sheetPr>
  <dimension ref="A1:M43"/>
  <sheetViews>
    <sheetView showGridLines="0" tabSelected="1" topLeftCell="B27" zoomScaleNormal="100" workbookViewId="0">
      <selection activeCell="B35" sqref="B35"/>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+Operacion!G237</f>
        <v>Gruas Daniele</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t="str">
        <f>+Operacion!H238</f>
        <v>REF MAR S R L</v>
      </c>
      <c r="F4" s="49"/>
      <c r="G4" s="13" t="s">
        <v>251</v>
      </c>
      <c r="H4" s="50">
        <f>+Operacion!L238</f>
        <v>0.27083333333333331</v>
      </c>
      <c r="I4" s="43"/>
    </row>
    <row r="5" spans="2:13" ht="15.75" customHeight="1" thickBot="1">
      <c r="C5" s="42"/>
      <c r="D5" s="42"/>
      <c r="E5" s="43"/>
      <c r="F5" s="42"/>
      <c r="G5" s="42"/>
      <c r="I5" s="43"/>
    </row>
    <row r="6" spans="2:13" ht="26.45" thickBot="1">
      <c r="B6" s="13" t="s">
        <v>252</v>
      </c>
      <c r="D6" s="42"/>
      <c r="E6" s="37" t="str">
        <f>+Operacion!B238</f>
        <v>GDU518</v>
      </c>
      <c r="F6" s="20"/>
      <c r="G6" s="13" t="s">
        <v>239</v>
      </c>
      <c r="H6" s="23" t="str">
        <f>VLOOKUP(E6,tablaequipo,6)</f>
        <v>LIEBHERR</v>
      </c>
      <c r="I6" s="42"/>
    </row>
    <row r="7" spans="2:13" ht="15.75" customHeight="1">
      <c r="C7" s="42"/>
      <c r="D7" s="42"/>
      <c r="E7" s="23" t="str">
        <f>VLOOKUP(E6,tablaequipo,4)</f>
        <v>Grua</v>
      </c>
      <c r="F7" s="20"/>
      <c r="G7" s="13" t="s">
        <v>240</v>
      </c>
      <c r="H7" s="24" t="str">
        <f>VLOOKUP(E6,tablaequipo,7)</f>
        <v>LTM -1060 3.1</v>
      </c>
      <c r="I7" s="42"/>
      <c r="M7" s="57"/>
    </row>
    <row r="8" spans="2:13" ht="15.75" customHeight="1" thickBot="1">
      <c r="C8" s="42"/>
      <c r="D8" s="42"/>
      <c r="E8" s="25">
        <f>VLOOKUP(E6,tablaequipo,5)</f>
        <v>60</v>
      </c>
      <c r="F8" s="20"/>
      <c r="G8" s="13" t="s">
        <v>241</v>
      </c>
      <c r="H8" s="25" t="str">
        <f>VLOOKUP(E6,tablaequipo,8)</f>
        <v>-</v>
      </c>
      <c r="I8" s="42"/>
      <c r="M8" s="57"/>
    </row>
    <row r="9" spans="2:13" ht="16.5" customHeight="1" thickBot="1">
      <c r="C9" s="42"/>
      <c r="D9" s="42"/>
      <c r="E9" s="45"/>
      <c r="F9" s="51"/>
      <c r="G9" s="42"/>
      <c r="I9" s="42"/>
      <c r="M9" s="57" t="s">
        <v>253</v>
      </c>
    </row>
    <row r="10" spans="2:13" ht="21.6" thickBot="1">
      <c r="B10" s="13" t="s">
        <v>254</v>
      </c>
      <c r="C10" s="42"/>
      <c r="D10" s="42"/>
      <c r="E10" s="38" t="str">
        <f>+Operacion!D238</f>
        <v>Lazarte Lucas Matias</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f>+Operacion!D239</f>
        <v>0</v>
      </c>
      <c r="F13" s="45"/>
      <c r="G13" s="52">
        <v>4</v>
      </c>
      <c r="H13" s="38">
        <f>+Operacion!D242</f>
        <v>0</v>
      </c>
      <c r="I13" s="42"/>
    </row>
    <row r="14" spans="2:13" ht="20.25" customHeight="1" thickBot="1">
      <c r="C14" s="42"/>
      <c r="D14" s="52">
        <v>2</v>
      </c>
      <c r="E14" s="38">
        <f>+Operacion!D240</f>
        <v>0</v>
      </c>
      <c r="F14" s="45"/>
      <c r="G14" s="52">
        <v>5</v>
      </c>
      <c r="H14" s="38">
        <f>+Operacion!D243</f>
        <v>0</v>
      </c>
      <c r="I14" s="42"/>
    </row>
    <row r="15" spans="2:13" ht="20.25" customHeight="1" thickBot="1">
      <c r="C15" s="42"/>
      <c r="D15" s="52">
        <v>3</v>
      </c>
      <c r="E15" s="38">
        <f>+Operacion!D241</f>
        <v>0</v>
      </c>
      <c r="F15" s="45"/>
      <c r="G15" s="52">
        <v>6</v>
      </c>
      <c r="H15" s="38">
        <f>+Operacion!D244</f>
        <v>0</v>
      </c>
      <c r="I15" s="42"/>
    </row>
    <row r="16" spans="2:13" ht="20.25" customHeight="1" thickBot="1">
      <c r="C16" s="42"/>
      <c r="D16" s="42"/>
      <c r="G16" s="42"/>
      <c r="I16" s="42"/>
    </row>
    <row r="17" spans="2:9" ht="21.6" thickBot="1">
      <c r="B17" s="13" t="s">
        <v>256</v>
      </c>
      <c r="C17" s="42"/>
      <c r="D17" s="42"/>
      <c r="E17" s="40" t="e">
        <f>+Operacion!#REF!</f>
        <v>#REF!</v>
      </c>
      <c r="G17" s="42"/>
      <c r="I17" s="42"/>
    </row>
    <row r="18" spans="2:9" ht="20.25" customHeight="1" thickBot="1">
      <c r="C18" s="42"/>
      <c r="D18" s="42"/>
      <c r="G18" s="42"/>
      <c r="I18" s="42"/>
    </row>
    <row r="19" spans="2:9" ht="21.6" thickBot="1">
      <c r="B19" s="13" t="s">
        <v>257</v>
      </c>
      <c r="C19" s="42"/>
      <c r="D19" s="42"/>
      <c r="E19" s="40" t="e">
        <f>+Operacion!#REF!</f>
        <v>#REF!</v>
      </c>
      <c r="G19" s="42"/>
      <c r="I19" s="42"/>
    </row>
    <row r="20" spans="2:9" ht="20.25" customHeight="1" thickBot="1">
      <c r="C20" s="42"/>
      <c r="D20" s="42"/>
      <c r="G20" s="42"/>
      <c r="I20" s="42"/>
    </row>
    <row r="21" spans="2:9" ht="20.25" customHeight="1">
      <c r="B21" s="13" t="s">
        <v>258</v>
      </c>
      <c r="C21" s="53"/>
      <c r="D21" s="53"/>
      <c r="E21" s="213" t="str">
        <f>+Operacion!H239</f>
        <v>PLANTA MASTELLONE (GRAL RODRIGUEZ)</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+Operacion!H240</f>
        <v>0</v>
      </c>
      <c r="F25" s="214"/>
      <c r="G25" s="214"/>
      <c r="H25" s="215"/>
      <c r="I25" s="42"/>
    </row>
    <row r="26" spans="2:9" ht="20.25" customHeight="1" thickBot="1">
      <c r="B26" s="6"/>
      <c r="C26" s="55"/>
      <c r="D26" s="55"/>
      <c r="E26" s="219">
        <f>+Operacion!L240</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+Operacion!H241</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+Operacion!H242</f>
        <v>0</v>
      </c>
      <c r="F32" s="214"/>
      <c r="G32" s="214"/>
      <c r="H32" s="215"/>
      <c r="I32" s="42"/>
    </row>
    <row r="33" spans="2:9" ht="20.25" customHeight="1" thickBot="1">
      <c r="B33" s="6"/>
      <c r="C33" s="55"/>
      <c r="D33" s="55"/>
      <c r="E33" s="219">
        <f>+Operacion!L242</f>
        <v>0</v>
      </c>
      <c r="F33" s="220"/>
      <c r="G33" s="220"/>
      <c r="H33" s="221"/>
      <c r="I33" s="42"/>
    </row>
    <row r="34" spans="2:9" ht="20.25" customHeight="1" thickBot="1">
      <c r="B34" s="6"/>
      <c r="C34" s="42"/>
      <c r="D34" s="42"/>
      <c r="E34" s="56"/>
      <c r="F34" s="55"/>
      <c r="G34" s="42"/>
      <c r="I34" s="42"/>
    </row>
    <row r="35" spans="2:9" ht="20.25" customHeight="1">
      <c r="B35" s="13" t="s">
        <v>260</v>
      </c>
      <c r="C35" s="53"/>
      <c r="D35" s="53"/>
      <c r="E35" s="204" t="s">
        <v>264</v>
      </c>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cNMcQJCw60WRsAEsr+qyaJafAn685NwjzkJM3+i3T36g4cpBakVGP2/nqprRzYYkx1tJqPMtOhlBsCO/BlzkiQ==" saltValue="C1Iqz/KCQRFRPjrT6Hca9g==" spinCount="100000" sheet="1" objects="1" scenarios="1"/>
  <dataConsolidate/>
  <mergeCells count="7">
    <mergeCell ref="E35:H38"/>
    <mergeCell ref="E21:H23"/>
    <mergeCell ref="E25:H25"/>
    <mergeCell ref="E26:H26"/>
    <mergeCell ref="E28:H30"/>
    <mergeCell ref="E32:H32"/>
    <mergeCell ref="E33:H33"/>
  </mergeCells>
  <pageMargins left="0.28000000000000003" right="0.12" top="0.64" bottom="1" header="0" footer="0"/>
  <pageSetup paperSize="9" scale="53" orientation="portrait" horizontalDpi="4294967293"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8">
    <tabColor rgb="FF0070C0"/>
    <pageSetUpPr fitToPage="1"/>
  </sheetPr>
  <dimension ref="A1:M43"/>
  <sheetViews>
    <sheetView showGridLines="0" topLeftCell="B1" zoomScaleNormal="100" workbookViewId="0">
      <selection activeCell="F8" sqref="F8"/>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+Operacion!G246</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+Operacion!H247</f>
        <v>0</v>
      </c>
      <c r="F4" s="49"/>
      <c r="G4" s="13" t="s">
        <v>251</v>
      </c>
      <c r="H4" s="50">
        <f>+Operacion!L247</f>
        <v>0</v>
      </c>
      <c r="I4" s="43"/>
    </row>
    <row r="5" spans="2:13" ht="15.75" customHeight="1" thickBot="1">
      <c r="C5" s="42"/>
      <c r="D5" s="42"/>
      <c r="E5" s="43"/>
      <c r="F5" s="42"/>
      <c r="G5" s="42"/>
      <c r="I5" s="43"/>
    </row>
    <row r="6" spans="2:13" ht="26.45" thickBot="1">
      <c r="B6" s="13" t="s">
        <v>252</v>
      </c>
      <c r="D6" s="42"/>
      <c r="E6" s="37" t="str">
        <f>Operacion!B247</f>
        <v>GDU520</v>
      </c>
      <c r="F6" s="20"/>
      <c r="G6" s="13" t="s">
        <v>239</v>
      </c>
      <c r="H6" s="23" t="str">
        <f>VLOOKUP(E6,tablaequipo,6)</f>
        <v>LIEBHERR</v>
      </c>
      <c r="I6" s="42"/>
    </row>
    <row r="7" spans="2:13" ht="15.75" customHeight="1">
      <c r="C7" s="42"/>
      <c r="D7" s="42"/>
      <c r="E7" s="23" t="str">
        <f>VLOOKUP(E6,tablaequipo,4)</f>
        <v>Grua</v>
      </c>
      <c r="F7" s="20"/>
      <c r="G7" s="13" t="s">
        <v>240</v>
      </c>
      <c r="H7" s="24" t="str">
        <f>VLOOKUP(E6,tablaequipo,7)</f>
        <v>LTM1070</v>
      </c>
      <c r="I7" s="42"/>
      <c r="M7" s="57"/>
    </row>
    <row r="8" spans="2:13" ht="15.75" customHeight="1" thickBot="1">
      <c r="C8" s="42"/>
      <c r="D8" s="42"/>
      <c r="E8" s="25">
        <f>VLOOKUP(E6,tablaequipo,5)</f>
        <v>70</v>
      </c>
      <c r="F8" s="20"/>
      <c r="G8" s="13" t="s">
        <v>241</v>
      </c>
      <c r="H8" s="25" t="str">
        <f>VLOOKUP(E6,tablaequipo,8)</f>
        <v>ZZ001UC</v>
      </c>
      <c r="I8" s="42"/>
      <c r="M8" s="57"/>
    </row>
    <row r="9" spans="2:13" ht="16.5" customHeight="1" thickBot="1">
      <c r="C9" s="42"/>
      <c r="D9" s="42"/>
      <c r="E9" s="45"/>
      <c r="F9" s="51"/>
      <c r="G9" s="42"/>
      <c r="I9" s="42"/>
      <c r="M9" s="57" t="s">
        <v>253</v>
      </c>
    </row>
    <row r="10" spans="2:13" ht="21.6" thickBot="1">
      <c r="B10" s="13" t="s">
        <v>254</v>
      </c>
      <c r="C10" s="42"/>
      <c r="D10" s="42"/>
      <c r="E10" s="38" t="str">
        <f>Operacion!D247</f>
        <v>Seleccione Chofer</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t="str">
        <f>Operacion!D248</f>
        <v>Selección Acompanante</v>
      </c>
      <c r="F13" s="45"/>
      <c r="G13" s="52">
        <v>4</v>
      </c>
      <c r="H13" s="38" t="str">
        <f>+Operacion!D251</f>
        <v>Selección Acompanante</v>
      </c>
      <c r="I13" s="42"/>
    </row>
    <row r="14" spans="2:13" ht="20.25" customHeight="1" thickBot="1">
      <c r="C14" s="42"/>
      <c r="D14" s="52">
        <v>2</v>
      </c>
      <c r="E14" s="38" t="str">
        <f>Operacion!D249</f>
        <v>Selección Acompanante</v>
      </c>
      <c r="F14" s="45"/>
      <c r="G14" s="52">
        <v>5</v>
      </c>
      <c r="H14" s="38" t="str">
        <f>+Operacion!D252</f>
        <v>Selección Acompanante</v>
      </c>
      <c r="I14" s="42"/>
    </row>
    <row r="15" spans="2:13" ht="20.25" customHeight="1" thickBot="1">
      <c r="C15" s="42"/>
      <c r="D15" s="52">
        <v>3</v>
      </c>
      <c r="E15" s="38" t="str">
        <f>Operacion!D250</f>
        <v>Selección Acompanante</v>
      </c>
      <c r="F15" s="45"/>
      <c r="G15" s="52">
        <v>6</v>
      </c>
      <c r="H15" s="38" t="str">
        <f>+Operacion!D253</f>
        <v>Selección Acompanante</v>
      </c>
      <c r="I15" s="42"/>
    </row>
    <row r="16" spans="2:13" ht="20.25" customHeight="1" thickBot="1">
      <c r="C16" s="42"/>
      <c r="D16" s="42"/>
      <c r="G16" s="42"/>
      <c r="I16" s="42"/>
    </row>
    <row r="17" spans="2:9" ht="21.6" thickBot="1">
      <c r="B17" s="13" t="s">
        <v>256</v>
      </c>
      <c r="C17" s="42"/>
      <c r="D17" s="42"/>
      <c r="E17" s="40" t="str">
        <f>+Operacion!H252</f>
        <v>Seleccione Verificador</v>
      </c>
      <c r="G17" s="42"/>
      <c r="I17" s="42"/>
    </row>
    <row r="18" spans="2:9" ht="20.25" customHeight="1" thickBot="1">
      <c r="C18" s="42"/>
      <c r="D18" s="42"/>
      <c r="G18" s="42"/>
      <c r="I18" s="42"/>
    </row>
    <row r="19" spans="2:9" ht="21.6" thickBot="1">
      <c r="B19" s="13" t="s">
        <v>257</v>
      </c>
      <c r="C19" s="42"/>
      <c r="D19" s="42"/>
      <c r="E19" s="40" t="str">
        <f>+Operacion!K252</f>
        <v>Selección Operador</v>
      </c>
      <c r="G19" s="42"/>
      <c r="I19" s="42"/>
    </row>
    <row r="20" spans="2:9" ht="20.25" customHeight="1" thickBot="1">
      <c r="C20" s="42"/>
      <c r="D20" s="42"/>
      <c r="G20" s="42"/>
      <c r="I20" s="42"/>
    </row>
    <row r="21" spans="2:9" ht="20.25" customHeight="1">
      <c r="B21" s="13" t="s">
        <v>258</v>
      </c>
      <c r="C21" s="53"/>
      <c r="D21" s="53"/>
      <c r="E21" s="213">
        <f>+Operacion!H248</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+Operacion!H249</f>
        <v>0</v>
      </c>
      <c r="F25" s="214"/>
      <c r="G25" s="214"/>
      <c r="H25" s="215"/>
      <c r="I25" s="42"/>
    </row>
    <row r="26" spans="2:9" ht="20.25" customHeight="1" thickBot="1">
      <c r="B26" s="6"/>
      <c r="C26" s="55"/>
      <c r="D26" s="55"/>
      <c r="E26" s="219">
        <f>+Operacion!L249</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+Operacion!H250</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+Operacion!H251</f>
        <v>0</v>
      </c>
      <c r="F32" s="214"/>
      <c r="G32" s="214"/>
      <c r="H32" s="215"/>
      <c r="I32" s="42"/>
    </row>
    <row r="33" spans="2:9" ht="20.25" customHeight="1" thickBot="1">
      <c r="B33" s="6"/>
      <c r="C33" s="55"/>
      <c r="D33" s="55"/>
      <c r="E33" s="219">
        <f>+Operacion!L251</f>
        <v>0</v>
      </c>
      <c r="F33" s="220"/>
      <c r="G33" s="220"/>
      <c r="H33" s="221"/>
      <c r="I33" s="42"/>
    </row>
    <row r="34" spans="2:9" ht="20.25" customHeight="1" thickBot="1">
      <c r="B34" s="6"/>
      <c r="C34" s="42"/>
      <c r="D34" s="42"/>
      <c r="E34" s="56"/>
      <c r="F34" s="55"/>
      <c r="G34" s="42"/>
      <c r="I34" s="42"/>
    </row>
    <row r="35" spans="2:9" ht="20.25" customHeight="1">
      <c r="B35" s="13" t="s">
        <v>260</v>
      </c>
      <c r="C35" s="53"/>
      <c r="D35" s="53"/>
      <c r="E35" s="204"/>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YvmN6eBeB6Yn8IRfD6MvUgt1C7arQoWrGgmydFC084BrNwnpoAGI8ZLa5meDXfvXkwFl6f8gaS9G8l99rOGSKg==" saltValue="pRN3DMye2aBFhH/8xI3BdQ==" spinCount="100000" sheet="1" objects="1" scenarios="1"/>
  <dataConsolidate/>
  <mergeCells count="7">
    <mergeCell ref="E35:H38"/>
    <mergeCell ref="E21:H23"/>
    <mergeCell ref="E25:H25"/>
    <mergeCell ref="E26:H26"/>
    <mergeCell ref="E28:H30"/>
    <mergeCell ref="E32:H32"/>
    <mergeCell ref="E33:H33"/>
  </mergeCells>
  <pageMargins left="0.28000000000000003" right="0.12" top="0.64" bottom="1" header="0" footer="0"/>
  <pageSetup paperSize="9" scale="53" orientation="portrait" horizontalDpi="4294967293"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0070C0"/>
    <pageSetUpPr fitToPage="1"/>
  </sheetPr>
  <dimension ref="A1:M43"/>
  <sheetViews>
    <sheetView showGridLines="0" topLeftCell="B27" zoomScaleNormal="100" workbookViewId="0">
      <selection activeCell="G41" sqref="G41"/>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+Operacion!G255</f>
        <v>Gruas Daniele</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t="str">
        <f>+Operacion!H256</f>
        <v xml:space="preserve">NUCLEOELECTICA ARGENTIN SA </v>
      </c>
      <c r="F4" s="49"/>
      <c r="G4" s="13" t="s">
        <v>251</v>
      </c>
      <c r="H4" s="50">
        <f>+Operacion!L256</f>
        <v>0.25</v>
      </c>
      <c r="I4" s="43"/>
    </row>
    <row r="5" spans="2:13" ht="15.75" customHeight="1" thickBot="1">
      <c r="C5" s="42"/>
      <c r="D5" s="42"/>
      <c r="E5" s="43"/>
      <c r="F5" s="42"/>
      <c r="G5" s="42"/>
      <c r="I5" s="43"/>
    </row>
    <row r="6" spans="2:13" ht="26.45" thickBot="1">
      <c r="B6" s="13" t="s">
        <v>252</v>
      </c>
      <c r="D6" s="42"/>
      <c r="E6" s="37" t="str">
        <f>Operacion!B256</f>
        <v>GDU521</v>
      </c>
      <c r="F6" s="20"/>
      <c r="G6" s="13" t="s">
        <v>239</v>
      </c>
      <c r="H6" s="23" t="str">
        <f>VLOOKUP(E6,tablaequipo,6)</f>
        <v>LIEBHERR</v>
      </c>
      <c r="I6" s="42"/>
    </row>
    <row r="7" spans="2:13" ht="15.75" customHeight="1">
      <c r="C7" s="42"/>
      <c r="D7" s="42"/>
      <c r="E7" s="23" t="str">
        <f>VLOOKUP(E6,tablaequipo,4)</f>
        <v>Grua</v>
      </c>
      <c r="F7" s="20"/>
      <c r="G7" s="13" t="s">
        <v>240</v>
      </c>
      <c r="H7" s="24" t="str">
        <f>VLOOKUP(E6,tablaequipo,7)</f>
        <v>LTM 1150</v>
      </c>
      <c r="I7" s="42"/>
      <c r="M7" s="57"/>
    </row>
    <row r="8" spans="2:13" ht="15.75" customHeight="1" thickBot="1">
      <c r="C8" s="42"/>
      <c r="D8" s="42"/>
      <c r="E8" s="25">
        <f>VLOOKUP(E6,tablaequipo,5)</f>
        <v>150</v>
      </c>
      <c r="F8" s="20"/>
      <c r="G8" s="13" t="s">
        <v>241</v>
      </c>
      <c r="H8" s="25" t="str">
        <f>VLOOKUP(E6,tablaequipo,8)</f>
        <v>-</v>
      </c>
      <c r="I8" s="42"/>
      <c r="M8" s="57"/>
    </row>
    <row r="9" spans="2:13" ht="16.5" customHeight="1" thickBot="1">
      <c r="C9" s="42"/>
      <c r="D9" s="42"/>
      <c r="E9" s="45"/>
      <c r="F9" s="51"/>
      <c r="G9" s="42"/>
      <c r="I9" s="42"/>
      <c r="M9" s="57" t="s">
        <v>253</v>
      </c>
    </row>
    <row r="10" spans="2:13" ht="21.6" thickBot="1">
      <c r="B10" s="13" t="s">
        <v>254</v>
      </c>
      <c r="C10" s="42"/>
      <c r="D10" s="42"/>
      <c r="E10" s="38">
        <f>Operacion!D256</f>
        <v>0</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f>Operacion!D257</f>
        <v>0</v>
      </c>
      <c r="F13" s="45"/>
      <c r="G13" s="52">
        <v>4</v>
      </c>
      <c r="H13" s="38">
        <f>+Operacion!D260</f>
        <v>0</v>
      </c>
      <c r="I13" s="42"/>
    </row>
    <row r="14" spans="2:13" ht="20.25" customHeight="1" thickBot="1">
      <c r="C14" s="42"/>
      <c r="D14" s="52">
        <v>2</v>
      </c>
      <c r="E14" s="38">
        <f>Operacion!D258</f>
        <v>0</v>
      </c>
      <c r="F14" s="45"/>
      <c r="G14" s="52">
        <v>5</v>
      </c>
      <c r="H14" s="38">
        <f>+Operacion!D261</f>
        <v>0</v>
      </c>
      <c r="I14" s="42"/>
    </row>
    <row r="15" spans="2:13" ht="20.25" customHeight="1" thickBot="1">
      <c r="C15" s="42"/>
      <c r="D15" s="52">
        <v>3</v>
      </c>
      <c r="E15" s="38">
        <f>Operacion!D259</f>
        <v>0</v>
      </c>
      <c r="F15" s="45"/>
      <c r="G15" s="52">
        <v>6</v>
      </c>
      <c r="H15" s="38">
        <f>+Operacion!D262</f>
        <v>0</v>
      </c>
      <c r="I15" s="42"/>
    </row>
    <row r="16" spans="2:13" ht="20.25" customHeight="1" thickBot="1">
      <c r="C16" s="42"/>
      <c r="D16" s="42"/>
      <c r="G16" s="42"/>
      <c r="I16" s="42"/>
    </row>
    <row r="17" spans="2:9" ht="21.6" thickBot="1">
      <c r="B17" s="13" t="s">
        <v>256</v>
      </c>
      <c r="C17" s="42"/>
      <c r="D17" s="42"/>
      <c r="E17" s="40" t="str">
        <f>+Operacion!H261</f>
        <v>Seleccione Verificador</v>
      </c>
      <c r="G17" s="42"/>
      <c r="I17" s="42"/>
    </row>
    <row r="18" spans="2:9" ht="20.25" customHeight="1" thickBot="1">
      <c r="C18" s="42"/>
      <c r="D18" s="42"/>
      <c r="G18" s="42"/>
      <c r="I18" s="42"/>
    </row>
    <row r="19" spans="2:9" ht="21.6" thickBot="1">
      <c r="B19" s="13" t="s">
        <v>257</v>
      </c>
      <c r="C19" s="42"/>
      <c r="D19" s="42"/>
      <c r="E19" s="40" t="str">
        <f>+Operacion!K261</f>
        <v>Recines Alejandro</v>
      </c>
      <c r="G19" s="42"/>
      <c r="I19" s="42"/>
    </row>
    <row r="20" spans="2:9" ht="20.25" customHeight="1" thickBot="1">
      <c r="C20" s="42"/>
      <c r="D20" s="42"/>
      <c r="G20" s="42"/>
      <c r="I20" s="42"/>
    </row>
    <row r="21" spans="2:9" ht="20.25" customHeight="1">
      <c r="B21" s="13" t="s">
        <v>258</v>
      </c>
      <c r="C21" s="53"/>
      <c r="D21" s="53"/>
      <c r="E21" s="213" t="str">
        <f>+Operacion!H257</f>
        <v xml:space="preserve">PREDIO ASECG II, LIMA ZARATE </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+Operacion!H258</f>
        <v>0</v>
      </c>
      <c r="F25" s="214"/>
      <c r="G25" s="214"/>
      <c r="H25" s="215"/>
      <c r="I25" s="42"/>
    </row>
    <row r="26" spans="2:9" ht="20.25" customHeight="1" thickBot="1">
      <c r="B26" s="6"/>
      <c r="C26" s="55"/>
      <c r="D26" s="55"/>
      <c r="E26" s="219">
        <f>+Operacion!L258</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+Operacion!H259</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+Operacion!H260</f>
        <v>0</v>
      </c>
      <c r="F32" s="214"/>
      <c r="G32" s="214"/>
      <c r="H32" s="215"/>
      <c r="I32" s="42"/>
    </row>
    <row r="33" spans="2:9" ht="20.25" customHeight="1" thickBot="1">
      <c r="B33" s="6"/>
      <c r="C33" s="55"/>
      <c r="D33" s="55"/>
      <c r="E33" s="219">
        <f>+Operacion!L260</f>
        <v>0</v>
      </c>
      <c r="F33" s="220"/>
      <c r="G33" s="220"/>
      <c r="H33" s="221"/>
      <c r="I33" s="42"/>
    </row>
    <row r="34" spans="2:9" ht="20.25" customHeight="1" thickBot="1">
      <c r="B34" s="6"/>
      <c r="C34" s="42"/>
      <c r="D34" s="42"/>
      <c r="E34" s="56"/>
      <c r="F34" s="55"/>
      <c r="G34" s="42"/>
      <c r="I34" s="42"/>
    </row>
    <row r="35" spans="2:9" ht="20.25" customHeight="1">
      <c r="B35" s="13" t="s">
        <v>260</v>
      </c>
      <c r="C35" s="53"/>
      <c r="D35" s="53"/>
      <c r="E35" s="204"/>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ce/M04UdC8wElUNDGpFGLsA4NsqsxmGloWzVW8Q7WZ4JL0eqLJ4A6OZ2LwceyLCifLFMOIG8p6TPOm0qiTLqCQ==" saltValue="WfvHZ0cF7YX8XFaydLcHXA==" spinCount="100000" sheet="1" objects="1" scenarios="1"/>
  <dataConsolidate/>
  <mergeCells count="7">
    <mergeCell ref="E35:H38"/>
    <mergeCell ref="E21:H23"/>
    <mergeCell ref="E25:H25"/>
    <mergeCell ref="E26:H26"/>
    <mergeCell ref="E28:H30"/>
    <mergeCell ref="E32:H32"/>
    <mergeCell ref="E33:H33"/>
  </mergeCells>
  <pageMargins left="0.28000000000000003" right="0.12" top="0.64" bottom="1" header="0" footer="0"/>
  <pageSetup paperSize="9" scale="53" orientation="portrait" horizontalDpi="4294967293"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1">
    <tabColor rgb="FF0070C0"/>
    <pageSetUpPr fitToPage="1"/>
  </sheetPr>
  <dimension ref="A1:M43"/>
  <sheetViews>
    <sheetView showGridLines="0" topLeftCell="B22" zoomScaleNormal="100" workbookViewId="0">
      <selection activeCell="E28" sqref="E28:H30"/>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+Operacion!G264</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+Operacion!H265</f>
        <v>0</v>
      </c>
      <c r="F4" s="49"/>
      <c r="G4" s="13" t="s">
        <v>251</v>
      </c>
      <c r="H4" s="50">
        <f>+Operacion!L265</f>
        <v>0</v>
      </c>
      <c r="I4" s="43"/>
    </row>
    <row r="5" spans="2:13" ht="15.75" customHeight="1" thickBot="1">
      <c r="C5" s="42"/>
      <c r="D5" s="42"/>
      <c r="E5" s="43"/>
      <c r="F5" s="42"/>
      <c r="G5" s="42"/>
      <c r="I5" s="43"/>
    </row>
    <row r="6" spans="2:13" ht="26.45" thickBot="1">
      <c r="B6" s="13" t="s">
        <v>252</v>
      </c>
      <c r="D6" s="42"/>
      <c r="E6" s="37" t="str">
        <f>+Operacion!B265</f>
        <v>GDU522</v>
      </c>
      <c r="F6" s="20"/>
      <c r="G6" s="13" t="s">
        <v>239</v>
      </c>
      <c r="H6" s="23" t="str">
        <f>VLOOKUP(E6,tablaequipo,6)</f>
        <v>LIEBHERR</v>
      </c>
      <c r="I6" s="42"/>
    </row>
    <row r="7" spans="2:13" ht="15.75" customHeight="1">
      <c r="C7" s="42"/>
      <c r="D7" s="42"/>
      <c r="E7" s="23" t="str">
        <f>VLOOKUP(E6,tablaequipo,4)</f>
        <v>Grua</v>
      </c>
      <c r="F7" s="20"/>
      <c r="G7" s="13" t="s">
        <v>240</v>
      </c>
      <c r="H7" s="24" t="str">
        <f>VLOOKUP(E6,tablaequipo,7)</f>
        <v>LTM 1230</v>
      </c>
      <c r="I7" s="42"/>
      <c r="M7" s="57"/>
    </row>
    <row r="8" spans="2:13" ht="15.75" customHeight="1" thickBot="1">
      <c r="C8" s="42"/>
      <c r="D8" s="42"/>
      <c r="E8" s="25">
        <f>VLOOKUP(E6,tablaequipo,5)</f>
        <v>230</v>
      </c>
      <c r="F8" s="20"/>
      <c r="G8" s="13" t="s">
        <v>241</v>
      </c>
      <c r="H8" s="25">
        <f>VLOOKUP(E6,tablaequipo,8)</f>
        <v>0</v>
      </c>
      <c r="I8" s="42"/>
      <c r="M8" s="57"/>
    </row>
    <row r="9" spans="2:13" ht="16.5" customHeight="1" thickBot="1">
      <c r="C9" s="42"/>
      <c r="D9" s="42"/>
      <c r="E9" s="45"/>
      <c r="F9" s="51"/>
      <c r="G9" s="42"/>
      <c r="I9" s="42"/>
      <c r="M9" s="57" t="s">
        <v>253</v>
      </c>
    </row>
    <row r="10" spans="2:13" ht="21.6" thickBot="1">
      <c r="B10" s="13" t="s">
        <v>254</v>
      </c>
      <c r="C10" s="42"/>
      <c r="D10" s="42"/>
      <c r="E10" s="38" t="str">
        <f>+Operacion!D265</f>
        <v>Seleccione Chofer</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t="str">
        <f>+Operacion!D266</f>
        <v>Selección Acompanante</v>
      </c>
      <c r="F13" s="45"/>
      <c r="G13" s="52">
        <v>4</v>
      </c>
      <c r="H13" s="38" t="str">
        <f>+Operacion!D269</f>
        <v>Selección Acompanante</v>
      </c>
      <c r="I13" s="42"/>
    </row>
    <row r="14" spans="2:13" ht="20.25" customHeight="1" thickBot="1">
      <c r="C14" s="42"/>
      <c r="D14" s="52">
        <v>2</v>
      </c>
      <c r="E14" s="38" t="str">
        <f>+Operacion!D267</f>
        <v>Selección Acompanante</v>
      </c>
      <c r="F14" s="45"/>
      <c r="G14" s="52">
        <v>5</v>
      </c>
      <c r="H14" s="38" t="str">
        <f>+Operacion!D270</f>
        <v>Selección Acompanante</v>
      </c>
      <c r="I14" s="42"/>
    </row>
    <row r="15" spans="2:13" ht="20.25" customHeight="1" thickBot="1">
      <c r="C15" s="42"/>
      <c r="D15" s="52">
        <v>3</v>
      </c>
      <c r="E15" s="38" t="str">
        <f>+Operacion!D268</f>
        <v>Selección Acompanante</v>
      </c>
      <c r="F15" s="45"/>
      <c r="G15" s="52">
        <v>6</v>
      </c>
      <c r="H15" s="38" t="str">
        <f>+Operacion!D271</f>
        <v>Selección Acompanante</v>
      </c>
      <c r="I15" s="42"/>
    </row>
    <row r="16" spans="2:13" ht="20.25" customHeight="1" thickBot="1">
      <c r="C16" s="42"/>
      <c r="D16" s="42"/>
      <c r="G16" s="42"/>
      <c r="I16" s="42"/>
    </row>
    <row r="17" spans="2:9" ht="21.6" thickBot="1">
      <c r="B17" s="13" t="s">
        <v>256</v>
      </c>
      <c r="C17" s="42"/>
      <c r="D17" s="42"/>
      <c r="E17" s="40" t="str">
        <f>+Operacion!H270</f>
        <v>Seleccione Verificador</v>
      </c>
      <c r="F17" s="45"/>
      <c r="G17" s="42"/>
      <c r="I17" s="42"/>
    </row>
    <row r="18" spans="2:9" ht="20.25" customHeight="1" thickBot="1">
      <c r="C18" s="42"/>
      <c r="D18" s="42"/>
      <c r="G18" s="42"/>
      <c r="I18" s="42"/>
    </row>
    <row r="19" spans="2:9" ht="21.6" thickBot="1">
      <c r="B19" s="13" t="s">
        <v>257</v>
      </c>
      <c r="C19" s="42"/>
      <c r="D19" s="42"/>
      <c r="E19" s="40" t="str">
        <f>+Operacion!K270</f>
        <v>Selección Operador</v>
      </c>
      <c r="F19" s="45"/>
      <c r="G19" s="42"/>
      <c r="I19" s="42"/>
    </row>
    <row r="20" spans="2:9" ht="20.25" customHeight="1" thickBot="1">
      <c r="C20" s="42"/>
      <c r="D20" s="42"/>
      <c r="G20" s="42"/>
      <c r="I20" s="42"/>
    </row>
    <row r="21" spans="2:9" ht="20.25" customHeight="1">
      <c r="B21" s="13" t="s">
        <v>258</v>
      </c>
      <c r="C21" s="53"/>
      <c r="D21" s="53"/>
      <c r="E21" s="213">
        <f>+Operacion!H266</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+Operacion!H267</f>
        <v>0</v>
      </c>
      <c r="F25" s="214"/>
      <c r="G25" s="214"/>
      <c r="H25" s="215"/>
      <c r="I25" s="42"/>
    </row>
    <row r="26" spans="2:9" ht="20.25" customHeight="1" thickBot="1">
      <c r="B26" s="6"/>
      <c r="C26" s="55"/>
      <c r="D26" s="55"/>
      <c r="E26" s="219">
        <f>+Operacion!L267</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+Operacion!H268</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+Operacion!H269</f>
        <v>0</v>
      </c>
      <c r="F32" s="214"/>
      <c r="G32" s="214"/>
      <c r="H32" s="215"/>
      <c r="I32" s="42"/>
    </row>
    <row r="33" spans="2:9" ht="20.25" customHeight="1" thickBot="1">
      <c r="B33" s="6"/>
      <c r="C33" s="55"/>
      <c r="D33" s="55"/>
      <c r="E33" s="219">
        <f>+Operacion!L269</f>
        <v>0</v>
      </c>
      <c r="F33" s="220"/>
      <c r="G33" s="220"/>
      <c r="H33" s="221"/>
      <c r="I33" s="42"/>
    </row>
    <row r="34" spans="2:9" ht="20.25" customHeight="1" thickBot="1">
      <c r="B34" s="6"/>
      <c r="C34" s="42"/>
      <c r="D34" s="42"/>
      <c r="E34" s="56"/>
      <c r="F34" s="55"/>
      <c r="G34" s="42"/>
      <c r="I34" s="42"/>
    </row>
    <row r="35" spans="2:9" ht="20.25" customHeight="1">
      <c r="B35" s="13" t="s">
        <v>260</v>
      </c>
      <c r="C35" s="53"/>
      <c r="D35" s="53"/>
      <c r="E35" s="204"/>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ht="13.9" customHeight="1">
      <c r="C40" s="42"/>
      <c r="D40" s="42"/>
      <c r="E40" s="43"/>
      <c r="F40" s="42"/>
      <c r="G40" s="42"/>
      <c r="I40" s="42"/>
    </row>
    <row r="41" spans="2:9" ht="13.9" customHeight="1">
      <c r="C41" s="42"/>
      <c r="D41" s="42"/>
      <c r="E41" s="43"/>
      <c r="F41" s="42"/>
      <c r="G41" s="42"/>
      <c r="I41" s="42"/>
    </row>
    <row r="42" spans="2:9" ht="13.9" customHeight="1">
      <c r="C42" s="42"/>
      <c r="D42" s="42"/>
      <c r="E42" s="43"/>
      <c r="F42" s="42"/>
      <c r="G42" s="42"/>
      <c r="I42" s="42"/>
    </row>
    <row r="43" spans="2:9" ht="14.45" customHeight="1">
      <c r="C43" s="42"/>
      <c r="D43" s="42"/>
      <c r="E43" s="43"/>
      <c r="F43" s="42"/>
      <c r="G43" s="42"/>
      <c r="I43" s="42"/>
    </row>
  </sheetData>
  <dataConsolidate/>
  <mergeCells count="7">
    <mergeCell ref="E21:H23"/>
    <mergeCell ref="E28:H30"/>
    <mergeCell ref="E35:H38"/>
    <mergeCell ref="E25:H25"/>
    <mergeCell ref="E26:H26"/>
    <mergeCell ref="E32:H32"/>
    <mergeCell ref="E33:H33"/>
  </mergeCells>
  <pageMargins left="0.28000000000000003" right="0.12" top="0.64" bottom="1" header="0" footer="0"/>
  <pageSetup paperSize="9" scale="53" orientation="portrait" horizontalDpi="4294967293"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45">
    <tabColor rgb="FF0070C0"/>
  </sheetPr>
  <dimension ref="A1:M43"/>
  <sheetViews>
    <sheetView showGridLines="0" topLeftCell="B17" zoomScaleNormal="100" workbookViewId="0">
      <selection activeCell="E28" sqref="E28:H30"/>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+Operacion!G273</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+Operacion!H274</f>
        <v>0</v>
      </c>
      <c r="F4" s="49"/>
      <c r="G4" s="13" t="s">
        <v>251</v>
      </c>
      <c r="H4" s="50">
        <f>+Operacion!L274</f>
        <v>0</v>
      </c>
      <c r="I4" s="43"/>
    </row>
    <row r="5" spans="2:13" ht="15.75" customHeight="1" thickBot="1">
      <c r="C5" s="42"/>
      <c r="D5" s="42"/>
      <c r="E5" s="43"/>
      <c r="F5" s="42"/>
      <c r="G5" s="42"/>
      <c r="I5" s="43"/>
    </row>
    <row r="6" spans="2:13" ht="26.45" thickBot="1">
      <c r="B6" s="13" t="s">
        <v>252</v>
      </c>
      <c r="D6" s="42"/>
      <c r="E6" s="37" t="str">
        <f>+Operacion!B274</f>
        <v>GDU700</v>
      </c>
      <c r="F6" s="20"/>
      <c r="G6" s="13" t="s">
        <v>239</v>
      </c>
      <c r="H6" s="23" t="str">
        <f>VLOOKUP(E6,tablaequipo,6)</f>
        <v>Alguiler Grua</v>
      </c>
      <c r="I6" s="42"/>
    </row>
    <row r="7" spans="2:13" ht="18">
      <c r="C7" s="42"/>
      <c r="D7" s="42"/>
      <c r="E7" s="23" t="str">
        <f>VLOOKUP(E6,tablaequipo,4)</f>
        <v>Grua</v>
      </c>
      <c r="F7" s="20"/>
      <c r="G7" s="13" t="s">
        <v>240</v>
      </c>
      <c r="H7" s="24">
        <f>VLOOKUP(E6,tablaequipo,7)</f>
        <v>0</v>
      </c>
      <c r="I7" s="42"/>
      <c r="M7" s="57"/>
    </row>
    <row r="8" spans="2:13" ht="18.600000000000001" thickBot="1">
      <c r="C8" s="42"/>
      <c r="D8" s="42"/>
      <c r="E8" s="25">
        <f>VLOOKUP(E6,tablaequipo,5)</f>
        <v>0</v>
      </c>
      <c r="F8" s="20"/>
      <c r="G8" s="13" t="s">
        <v>241</v>
      </c>
      <c r="H8" s="25">
        <f>VLOOKUP(E6,tablaequipo,8)</f>
        <v>0</v>
      </c>
      <c r="I8" s="42"/>
      <c r="M8" s="57"/>
    </row>
    <row r="9" spans="2:13" ht="16.5" customHeight="1" thickBot="1">
      <c r="C9" s="42"/>
      <c r="D9" s="42"/>
      <c r="E9" s="45"/>
      <c r="F9" s="51"/>
      <c r="G9" s="42"/>
      <c r="I9" s="42"/>
      <c r="M9" s="57" t="s">
        <v>253</v>
      </c>
    </row>
    <row r="10" spans="2:13" ht="21.6" thickBot="1">
      <c r="B10" s="13" t="s">
        <v>254</v>
      </c>
      <c r="C10" s="42"/>
      <c r="D10" s="42"/>
      <c r="E10" s="38" t="str">
        <f>+Operacion!D274</f>
        <v>Seleccione Chofer</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t="str">
        <f>+Operacion!D275</f>
        <v>Selección Acompanante</v>
      </c>
      <c r="F13" s="45"/>
      <c r="G13" s="52">
        <v>4</v>
      </c>
      <c r="H13" s="38" t="str">
        <f>+Operacion!D278</f>
        <v>Selección Acompanante</v>
      </c>
      <c r="I13" s="42"/>
    </row>
    <row r="14" spans="2:13" ht="20.25" customHeight="1" thickBot="1">
      <c r="C14" s="42"/>
      <c r="D14" s="52">
        <v>2</v>
      </c>
      <c r="E14" s="38" t="str">
        <f>+Operacion!D276</f>
        <v>Selección Acompanante</v>
      </c>
      <c r="F14" s="45"/>
      <c r="G14" s="52">
        <v>5</v>
      </c>
      <c r="H14" s="38" t="str">
        <f>+Operacion!D279</f>
        <v>Selección Acompanante</v>
      </c>
      <c r="I14" s="42"/>
    </row>
    <row r="15" spans="2:13" ht="20.25" customHeight="1" thickBot="1">
      <c r="C15" s="42"/>
      <c r="D15" s="52">
        <v>3</v>
      </c>
      <c r="E15" s="38" t="str">
        <f>+Operacion!D277</f>
        <v>Selección Acompanante</v>
      </c>
      <c r="F15" s="45"/>
      <c r="G15" s="52">
        <v>6</v>
      </c>
      <c r="H15" s="38" t="str">
        <f>+Operacion!D280</f>
        <v>Selección Acompanante</v>
      </c>
      <c r="I15" s="42"/>
    </row>
    <row r="16" spans="2:13" ht="20.25" customHeight="1" thickBot="1">
      <c r="C16" s="42"/>
      <c r="D16" s="42"/>
      <c r="G16" s="42"/>
      <c r="I16" s="42"/>
    </row>
    <row r="17" spans="2:9" ht="21.6" thickBot="1">
      <c r="B17" s="13" t="s">
        <v>256</v>
      </c>
      <c r="C17" s="42"/>
      <c r="D17" s="42"/>
      <c r="E17" s="40" t="str">
        <f>+Operacion!H279</f>
        <v>Seleccione Verificador</v>
      </c>
      <c r="F17" s="45"/>
      <c r="G17" s="42"/>
      <c r="I17" s="42"/>
    </row>
    <row r="18" spans="2:9" ht="20.25" customHeight="1" thickBot="1">
      <c r="C18" s="42"/>
      <c r="D18" s="42"/>
      <c r="G18" s="42"/>
      <c r="I18" s="42"/>
    </row>
    <row r="19" spans="2:9" ht="21.6" thickBot="1">
      <c r="B19" s="13" t="s">
        <v>257</v>
      </c>
      <c r="C19" s="42"/>
      <c r="D19" s="42"/>
      <c r="E19" s="40" t="str">
        <f>+Operacion!K279</f>
        <v>Selección Operador</v>
      </c>
      <c r="F19" s="45"/>
      <c r="G19" s="42"/>
      <c r="I19" s="42"/>
    </row>
    <row r="20" spans="2:9" ht="20.25" customHeight="1" thickBot="1">
      <c r="C20" s="42"/>
      <c r="D20" s="42"/>
      <c r="G20" s="42"/>
      <c r="I20" s="42"/>
    </row>
    <row r="21" spans="2:9" ht="20.25" customHeight="1">
      <c r="B21" s="13" t="s">
        <v>258</v>
      </c>
      <c r="C21" s="53"/>
      <c r="D21" s="53"/>
      <c r="E21" s="213">
        <f>+Operacion!H275</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+Operacion!H276</f>
        <v>0</v>
      </c>
      <c r="F25" s="214"/>
      <c r="G25" s="214"/>
      <c r="H25" s="215"/>
      <c r="I25" s="42"/>
    </row>
    <row r="26" spans="2:9" ht="20.25" customHeight="1" thickBot="1">
      <c r="B26" s="6"/>
      <c r="C26" s="55"/>
      <c r="D26" s="55"/>
      <c r="E26" s="219">
        <f>+Operacion!L276</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+Operacion!H277</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+Operacion!H278</f>
        <v>0</v>
      </c>
      <c r="F32" s="214"/>
      <c r="G32" s="214"/>
      <c r="H32" s="215"/>
      <c r="I32" s="42"/>
    </row>
    <row r="33" spans="2:9" ht="20.25" customHeight="1" thickBot="1">
      <c r="B33" s="6"/>
      <c r="C33" s="55"/>
      <c r="D33" s="55"/>
      <c r="E33" s="219">
        <f>+Operacion!L278</f>
        <v>0</v>
      </c>
      <c r="F33" s="220"/>
      <c r="G33" s="220"/>
      <c r="H33" s="221"/>
      <c r="I33" s="42"/>
    </row>
    <row r="34" spans="2:9" ht="20.25" customHeight="1" thickBot="1">
      <c r="B34" s="6"/>
      <c r="C34" s="42"/>
      <c r="D34" s="42"/>
      <c r="E34" s="56"/>
      <c r="F34" s="55"/>
      <c r="G34" s="42"/>
      <c r="I34" s="42"/>
    </row>
    <row r="35" spans="2:9" ht="20.25" customHeight="1">
      <c r="B35" s="13" t="s">
        <v>260</v>
      </c>
      <c r="C35" s="53"/>
      <c r="D35" s="53"/>
      <c r="E35" s="204"/>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R6YS8LRSmCJFiCAxOcmOrUEWZ5wb9FzLKftE9JNkaPowIRw5oqOkCqvSkt5oI2nsKU4zv7RaBsQJuKwDgZF+iA==" saltValue="jYXtUxg/2RBBn2EuRcJh6g==" spinCount="100000" sheet="1" objects="1" scenarios="1"/>
  <dataConsolidate/>
  <mergeCells count="7">
    <mergeCell ref="E35:H38"/>
    <mergeCell ref="E21:H23"/>
    <mergeCell ref="E25:H25"/>
    <mergeCell ref="E26:H26"/>
    <mergeCell ref="E28:H30"/>
    <mergeCell ref="E32:H32"/>
    <mergeCell ref="E33:H33"/>
  </mergeCells>
  <pageMargins left="0.28000000000000003" right="0.12" top="0.64" bottom="1" header="0" footer="0"/>
  <pageSetup paperSize="9" orientation="portrait" horizontalDpi="4294967293"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46">
    <tabColor theme="8" tint="0.39997558519241921"/>
  </sheetPr>
  <dimension ref="A1:M43"/>
  <sheetViews>
    <sheetView showGridLines="0" topLeftCell="B7" workbookViewId="0">
      <selection activeCell="G11" sqref="G11"/>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+Operacion!G282</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+Operacion!H283</f>
        <v>0</v>
      </c>
      <c r="F4" s="49"/>
      <c r="G4" s="13" t="s">
        <v>251</v>
      </c>
      <c r="H4" s="50">
        <f>+Operacion!L283</f>
        <v>0</v>
      </c>
      <c r="I4" s="43"/>
    </row>
    <row r="5" spans="2:13" ht="15.75" customHeight="1" thickBot="1">
      <c r="C5" s="42"/>
      <c r="D5" s="42"/>
      <c r="E5" s="43"/>
      <c r="F5" s="42"/>
      <c r="G5" s="42"/>
      <c r="I5" s="43"/>
    </row>
    <row r="6" spans="2:13" ht="26.45" thickBot="1">
      <c r="B6" s="13" t="s">
        <v>252</v>
      </c>
      <c r="D6" s="42"/>
      <c r="E6" s="37" t="str">
        <f>+Operacion!B283</f>
        <v>GDU701</v>
      </c>
      <c r="F6" s="20"/>
      <c r="G6" s="13" t="s">
        <v>239</v>
      </c>
      <c r="H6" s="23" t="str">
        <f>VLOOKUP(E6,tablaequipo,4)</f>
        <v>Grua</v>
      </c>
      <c r="I6" s="42"/>
    </row>
    <row r="7" spans="2:13" ht="26.45" thickBot="1">
      <c r="C7" s="42"/>
      <c r="D7" s="42"/>
      <c r="E7" s="37"/>
      <c r="F7" s="20"/>
      <c r="G7" s="13" t="s">
        <v>240</v>
      </c>
      <c r="H7" s="24">
        <f>VLOOKUP(E6,tablaequipo,5)</f>
        <v>0</v>
      </c>
      <c r="I7" s="42"/>
      <c r="M7" s="57"/>
    </row>
    <row r="8" spans="2:13" ht="26.45" thickBot="1">
      <c r="C8" s="42"/>
      <c r="D8" s="42"/>
      <c r="E8" s="37"/>
      <c r="F8" s="20"/>
      <c r="G8" s="13" t="s">
        <v>241</v>
      </c>
      <c r="H8" s="25" t="str">
        <f>VLOOKUP(E6,tablaequipo,6)</f>
        <v>Alguiler Grua</v>
      </c>
      <c r="I8" s="42"/>
      <c r="M8" s="57"/>
    </row>
    <row r="9" spans="2:13" ht="16.5" customHeight="1" thickBot="1">
      <c r="C9" s="42"/>
      <c r="D9" s="42"/>
      <c r="E9" s="45"/>
      <c r="F9" s="51"/>
      <c r="G9" s="42"/>
      <c r="I9" s="42"/>
      <c r="M9" s="57" t="s">
        <v>253</v>
      </c>
    </row>
    <row r="10" spans="2:13" ht="21.6" thickBot="1">
      <c r="B10" s="13" t="s">
        <v>254</v>
      </c>
      <c r="C10" s="42"/>
      <c r="D10" s="42"/>
      <c r="E10" s="38" t="str">
        <f>+Operacion!D283</f>
        <v>Seleccione Chofer</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t="str">
        <f>+Operacion!D284</f>
        <v>Selección Acompanante</v>
      </c>
      <c r="F13" s="45"/>
      <c r="G13" s="52">
        <v>4</v>
      </c>
      <c r="H13" s="38" t="str">
        <f>+Operacion!D287</f>
        <v>Selección Acompanante</v>
      </c>
      <c r="I13" s="42"/>
    </row>
    <row r="14" spans="2:13" ht="20.25" customHeight="1" thickBot="1">
      <c r="C14" s="42"/>
      <c r="D14" s="52">
        <v>2</v>
      </c>
      <c r="E14" s="38" t="str">
        <f>+Operacion!D285</f>
        <v>Selección Acompanante</v>
      </c>
      <c r="F14" s="45"/>
      <c r="G14" s="52">
        <v>5</v>
      </c>
      <c r="H14" s="38" t="str">
        <f>+Operacion!D288</f>
        <v>Selección Acompanante</v>
      </c>
      <c r="I14" s="42"/>
    </row>
    <row r="15" spans="2:13" ht="20.25" customHeight="1" thickBot="1">
      <c r="C15" s="42"/>
      <c r="D15" s="52">
        <v>3</v>
      </c>
      <c r="E15" s="38" t="str">
        <f>+Operacion!D286</f>
        <v>Selección Acompanante</v>
      </c>
      <c r="F15" s="45"/>
      <c r="G15" s="52">
        <v>6</v>
      </c>
      <c r="H15" s="38" t="str">
        <f>+Operacion!D289</f>
        <v>Selección Acompanante</v>
      </c>
      <c r="I15" s="42"/>
    </row>
    <row r="16" spans="2:13" ht="20.25" customHeight="1" thickBot="1">
      <c r="C16" s="42"/>
      <c r="D16" s="42"/>
      <c r="G16" s="42"/>
      <c r="I16" s="42"/>
    </row>
    <row r="17" spans="2:9" ht="21.6" thickBot="1">
      <c r="B17" s="13" t="s">
        <v>256</v>
      </c>
      <c r="C17" s="42"/>
      <c r="D17" s="42"/>
      <c r="E17" s="40" t="str">
        <f>+Operacion!H288</f>
        <v>Seleccione Verificador</v>
      </c>
      <c r="F17" s="45"/>
      <c r="G17" s="42"/>
      <c r="I17" s="42"/>
    </row>
    <row r="18" spans="2:9" ht="16.149999999999999" thickBot="1">
      <c r="C18" s="42"/>
      <c r="D18" s="42"/>
      <c r="G18" s="42"/>
      <c r="I18" s="42"/>
    </row>
    <row r="19" spans="2:9" ht="21.6" thickBot="1">
      <c r="B19" s="13" t="s">
        <v>257</v>
      </c>
      <c r="C19" s="42"/>
      <c r="D19" s="42"/>
      <c r="E19" s="40" t="str">
        <f>+Operacion!K288</f>
        <v>Selección Operador</v>
      </c>
      <c r="F19" s="45"/>
      <c r="G19" s="42"/>
      <c r="I19" s="42"/>
    </row>
    <row r="20" spans="2:9" ht="16.149999999999999" thickBot="1">
      <c r="C20" s="42"/>
      <c r="D20" s="42"/>
      <c r="G20" s="42"/>
      <c r="I20" s="42"/>
    </row>
    <row r="21" spans="2:9">
      <c r="B21" s="13" t="s">
        <v>258</v>
      </c>
      <c r="C21" s="53"/>
      <c r="D21" s="53"/>
      <c r="E21" s="213">
        <f>+Operacion!H284</f>
        <v>0</v>
      </c>
      <c r="F21" s="214"/>
      <c r="G21" s="214"/>
      <c r="H21" s="215"/>
      <c r="I21" s="42"/>
    </row>
    <row r="22" spans="2:9">
      <c r="C22" s="2"/>
      <c r="D22" s="2"/>
      <c r="E22" s="216"/>
      <c r="F22" s="217"/>
      <c r="G22" s="217"/>
      <c r="H22" s="218"/>
      <c r="I22" s="42"/>
    </row>
    <row r="23" spans="2:9" ht="16.149999999999999" thickBot="1">
      <c r="C23" s="54"/>
      <c r="D23" s="54"/>
      <c r="E23" s="219"/>
      <c r="F23" s="220"/>
      <c r="G23" s="220"/>
      <c r="H23" s="221"/>
      <c r="I23" s="42"/>
    </row>
    <row r="24" spans="2:9" ht="16.149999999999999" thickBot="1">
      <c r="C24" s="42"/>
      <c r="D24" s="42"/>
      <c r="E24" s="43"/>
      <c r="F24" s="42"/>
      <c r="G24" s="42"/>
      <c r="I24" s="42"/>
    </row>
    <row r="25" spans="2:9">
      <c r="B25" s="13" t="s">
        <v>259</v>
      </c>
      <c r="C25" s="53"/>
      <c r="D25" s="53"/>
      <c r="E25" s="213">
        <f>+Operacion!H285</f>
        <v>0</v>
      </c>
      <c r="F25" s="214"/>
      <c r="G25" s="214"/>
      <c r="H25" s="215"/>
      <c r="I25" s="42"/>
    </row>
    <row r="26" spans="2:9" ht="16.149999999999999" thickBot="1">
      <c r="B26" s="6"/>
      <c r="C26" s="55"/>
      <c r="D26" s="55"/>
      <c r="E26" s="219">
        <f>+Operacion!L285</f>
        <v>0</v>
      </c>
      <c r="F26" s="220"/>
      <c r="G26" s="220"/>
      <c r="H26" s="221"/>
      <c r="I26" s="42"/>
    </row>
    <row r="27" spans="2:9" ht="16.149999999999999" thickBot="1">
      <c r="B27" s="6"/>
      <c r="C27" s="42"/>
      <c r="D27" s="42"/>
      <c r="E27" s="56"/>
      <c r="F27" s="55"/>
      <c r="G27" s="42"/>
      <c r="I27" s="42"/>
    </row>
    <row r="28" spans="2:9">
      <c r="B28" s="13" t="s">
        <v>243</v>
      </c>
      <c r="C28" s="53"/>
      <c r="D28" s="53"/>
      <c r="E28" s="213">
        <f>+Operacion!H286</f>
        <v>0</v>
      </c>
      <c r="F28" s="214"/>
      <c r="G28" s="214"/>
      <c r="H28" s="215"/>
      <c r="I28" s="42"/>
    </row>
    <row r="29" spans="2:9">
      <c r="C29" s="2"/>
      <c r="D29" s="2"/>
      <c r="E29" s="216"/>
      <c r="F29" s="217"/>
      <c r="G29" s="217"/>
      <c r="H29" s="218"/>
      <c r="I29" s="42"/>
    </row>
    <row r="30" spans="2:9" ht="16.149999999999999" thickBot="1">
      <c r="C30" s="2"/>
      <c r="D30" s="2"/>
      <c r="E30" s="219"/>
      <c r="F30" s="220"/>
      <c r="G30" s="220"/>
      <c r="H30" s="221"/>
      <c r="I30" s="42"/>
    </row>
    <row r="31" spans="2:9" ht="16.149999999999999" thickBot="1">
      <c r="B31" s="6"/>
      <c r="E31" s="56"/>
      <c r="F31" s="55"/>
      <c r="I31" s="42"/>
    </row>
    <row r="32" spans="2:9">
      <c r="B32" s="13" t="s">
        <v>259</v>
      </c>
      <c r="C32" s="53"/>
      <c r="D32" s="53"/>
      <c r="E32" s="213">
        <f>+Operacion!H287</f>
        <v>0</v>
      </c>
      <c r="F32" s="214"/>
      <c r="G32" s="214"/>
      <c r="H32" s="215"/>
      <c r="I32" s="42"/>
    </row>
    <row r="33" spans="2:9" ht="16.149999999999999" thickBot="1">
      <c r="B33" s="6"/>
      <c r="C33" s="55"/>
      <c r="D33" s="55"/>
      <c r="E33" s="219">
        <f>+Operacion!L287</f>
        <v>0</v>
      </c>
      <c r="F33" s="220"/>
      <c r="G33" s="220"/>
      <c r="H33" s="221"/>
      <c r="I33" s="42"/>
    </row>
    <row r="34" spans="2:9" ht="16.149999999999999" thickBot="1">
      <c r="B34" s="6"/>
      <c r="C34" s="42"/>
      <c r="D34" s="42"/>
      <c r="E34" s="56"/>
      <c r="F34" s="55"/>
      <c r="G34" s="42"/>
      <c r="I34" s="42"/>
    </row>
    <row r="35" spans="2:9">
      <c r="B35" s="13" t="s">
        <v>260</v>
      </c>
      <c r="C35" s="53"/>
      <c r="D35" s="53"/>
      <c r="E35" s="204"/>
      <c r="F35" s="205"/>
      <c r="G35" s="205"/>
      <c r="H35" s="206"/>
      <c r="I35" s="42"/>
    </row>
    <row r="36" spans="2:9">
      <c r="C36" s="54"/>
      <c r="D36" s="54"/>
      <c r="E36" s="207"/>
      <c r="F36" s="208"/>
      <c r="G36" s="208"/>
      <c r="H36" s="209"/>
      <c r="I36" s="42"/>
    </row>
    <row r="37" spans="2:9">
      <c r="C37" s="54"/>
      <c r="D37" s="54"/>
      <c r="E37" s="207"/>
      <c r="F37" s="208"/>
      <c r="G37" s="208"/>
      <c r="H37" s="209"/>
      <c r="I37" s="42"/>
    </row>
    <row r="38" spans="2:9" ht="16.149999999999999"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zAEd/STWnAs67dmzcZK15Rygv1QSKkoKyY8L3OuxLT+QNwVbJ6+Zh5jPysB/ccCOeeFLz5fDotyMG5LC+VuzIg==" saltValue="Exz+S+8r35bmttarKxOcnw==" spinCount="100000" sheet="1" objects="1" scenarios="1"/>
  <mergeCells count="7">
    <mergeCell ref="E35:H38"/>
    <mergeCell ref="E21:H23"/>
    <mergeCell ref="E25:H25"/>
    <mergeCell ref="E26:H26"/>
    <mergeCell ref="E28:H30"/>
    <mergeCell ref="E32:H32"/>
    <mergeCell ref="E33:H33"/>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47">
    <tabColor theme="8" tint="0.39997558519241921"/>
  </sheetPr>
  <dimension ref="A1:M43"/>
  <sheetViews>
    <sheetView showGridLines="0" topLeftCell="B28" zoomScaleNormal="100" workbookViewId="0">
      <selection activeCell="F41" sqref="F41"/>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str">
        <f>+Operacion!G291</f>
        <v>Seleccione Empresa</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f>+Operacion!H292</f>
        <v>0</v>
      </c>
      <c r="F4" s="49"/>
      <c r="G4" s="13" t="s">
        <v>251</v>
      </c>
      <c r="H4" s="50">
        <f>+Operacion!L292</f>
        <v>0</v>
      </c>
      <c r="I4" s="43"/>
    </row>
    <row r="5" spans="2:13" ht="15.75" customHeight="1" thickBot="1">
      <c r="C5" s="42"/>
      <c r="D5" s="42"/>
      <c r="E5" s="43"/>
      <c r="F5" s="42"/>
      <c r="G5" s="42"/>
      <c r="I5" s="43"/>
    </row>
    <row r="6" spans="2:13" ht="26.45" thickBot="1">
      <c r="B6" s="13" t="s">
        <v>252</v>
      </c>
      <c r="D6" s="42"/>
      <c r="E6" s="37" t="str">
        <f>+Operacion!B292</f>
        <v>GDU702</v>
      </c>
      <c r="F6" s="20"/>
      <c r="G6" s="13" t="s">
        <v>239</v>
      </c>
      <c r="H6" s="23" t="str">
        <f>VLOOKUP(E6,tablaequipo,4)</f>
        <v>Grua</v>
      </c>
      <c r="I6" s="42"/>
    </row>
    <row r="7" spans="2:13" ht="26.45" thickBot="1">
      <c r="C7" s="42"/>
      <c r="D7" s="42"/>
      <c r="E7" s="37"/>
      <c r="F7" s="20"/>
      <c r="G7" s="13" t="s">
        <v>240</v>
      </c>
      <c r="H7" s="24">
        <f>VLOOKUP(E6,tablaequipo,5)</f>
        <v>0</v>
      </c>
      <c r="I7" s="42"/>
      <c r="M7" s="57"/>
    </row>
    <row r="8" spans="2:13" ht="26.45" thickBot="1">
      <c r="C8" s="42"/>
      <c r="D8" s="42"/>
      <c r="E8" s="37"/>
      <c r="F8" s="20"/>
      <c r="G8" s="13" t="s">
        <v>241</v>
      </c>
      <c r="H8" s="25" t="str">
        <f>VLOOKUP(E6,tablaequipo,6)</f>
        <v>Alguiler Grua</v>
      </c>
      <c r="I8" s="42"/>
      <c r="M8" s="57"/>
    </row>
    <row r="9" spans="2:13" ht="16.5" customHeight="1" thickBot="1">
      <c r="C9" s="42"/>
      <c r="D9" s="42"/>
      <c r="E9" s="45"/>
      <c r="F9" s="51"/>
      <c r="G9" s="42"/>
      <c r="I9" s="42"/>
      <c r="M9" s="57" t="s">
        <v>253</v>
      </c>
    </row>
    <row r="10" spans="2:13" ht="21.6" thickBot="1">
      <c r="B10" s="13" t="s">
        <v>254</v>
      </c>
      <c r="C10" s="42"/>
      <c r="D10" s="42"/>
      <c r="E10" s="38" t="str">
        <f>+Operacion!D292</f>
        <v>Seleccione Chofer</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t="str">
        <f>+Operacion!D293</f>
        <v>Selección Acompanante</v>
      </c>
      <c r="F13" s="45"/>
      <c r="G13" s="52">
        <v>4</v>
      </c>
      <c r="H13" s="38" t="str">
        <f>+Operacion!D296</f>
        <v>Selección Acompanante</v>
      </c>
      <c r="I13" s="42"/>
    </row>
    <row r="14" spans="2:13" ht="20.25" customHeight="1" thickBot="1">
      <c r="C14" s="42"/>
      <c r="D14" s="52">
        <v>2</v>
      </c>
      <c r="E14" s="38" t="str">
        <f>+Operacion!D294</f>
        <v>Selección Acompanante</v>
      </c>
      <c r="F14" s="45"/>
      <c r="G14" s="52">
        <v>5</v>
      </c>
      <c r="H14" s="38" t="str">
        <f>+Operacion!D297</f>
        <v>Selección Acompanante</v>
      </c>
      <c r="I14" s="42"/>
    </row>
    <row r="15" spans="2:13" ht="20.25" customHeight="1" thickBot="1">
      <c r="C15" s="42"/>
      <c r="D15" s="52">
        <v>3</v>
      </c>
      <c r="E15" s="38" t="str">
        <f>+Operacion!D295</f>
        <v>Selección Acompanante</v>
      </c>
      <c r="F15" s="45"/>
      <c r="G15" s="52">
        <v>6</v>
      </c>
      <c r="H15" s="38" t="str">
        <f>+Operacion!D298</f>
        <v>Selección Acompanante</v>
      </c>
      <c r="I15" s="42"/>
    </row>
    <row r="16" spans="2:13" ht="20.25" customHeight="1" thickBot="1">
      <c r="C16" s="42"/>
      <c r="D16" s="42"/>
      <c r="G16" s="42"/>
      <c r="I16" s="42"/>
    </row>
    <row r="17" spans="2:9" ht="21.6" thickBot="1">
      <c r="B17" s="13" t="s">
        <v>256</v>
      </c>
      <c r="C17" s="42"/>
      <c r="D17" s="42"/>
      <c r="E17" s="40" t="str">
        <f>+Operacion!H297</f>
        <v>Seleccione Verificador</v>
      </c>
      <c r="F17" s="45"/>
      <c r="G17" s="42"/>
      <c r="I17" s="42"/>
    </row>
    <row r="18" spans="2:9" ht="20.25" customHeight="1" thickBot="1">
      <c r="C18" s="42"/>
      <c r="D18" s="42"/>
      <c r="G18" s="42"/>
      <c r="I18" s="42"/>
    </row>
    <row r="19" spans="2:9" ht="21.6" thickBot="1">
      <c r="B19" s="13" t="s">
        <v>257</v>
      </c>
      <c r="C19" s="42"/>
      <c r="D19" s="42"/>
      <c r="E19" s="40" t="str">
        <f>+Operacion!K297</f>
        <v>Selección Operador</v>
      </c>
      <c r="F19" s="45"/>
      <c r="G19" s="42"/>
      <c r="I19" s="42"/>
    </row>
    <row r="20" spans="2:9" ht="20.25" customHeight="1" thickBot="1">
      <c r="C20" s="42"/>
      <c r="D20" s="42"/>
      <c r="G20" s="42"/>
      <c r="I20" s="42"/>
    </row>
    <row r="21" spans="2:9" ht="20.25" customHeight="1">
      <c r="B21" s="13" t="s">
        <v>258</v>
      </c>
      <c r="C21" s="53"/>
      <c r="D21" s="53"/>
      <c r="E21" s="213">
        <f>+Operacion!H293</f>
        <v>0</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f>+Operacion!H294</f>
        <v>0</v>
      </c>
      <c r="F25" s="214"/>
      <c r="G25" s="214"/>
      <c r="H25" s="215"/>
      <c r="I25" s="42"/>
    </row>
    <row r="26" spans="2:9" ht="20.25" customHeight="1" thickBot="1">
      <c r="B26" s="6"/>
      <c r="C26" s="55"/>
      <c r="D26" s="55"/>
      <c r="E26" s="219">
        <f>+Operacion!L294</f>
        <v>0</v>
      </c>
      <c r="F26" s="220"/>
      <c r="G26" s="220"/>
      <c r="H26" s="221"/>
      <c r="I26" s="42"/>
    </row>
    <row r="27" spans="2:9" ht="20.25" customHeight="1" thickBot="1">
      <c r="B27" s="6"/>
      <c r="C27" s="42"/>
      <c r="D27" s="42"/>
      <c r="E27" s="56"/>
      <c r="F27" s="55"/>
      <c r="G27" s="42"/>
      <c r="I27" s="42"/>
    </row>
    <row r="28" spans="2:9" ht="20.25" customHeight="1">
      <c r="B28" s="13" t="s">
        <v>243</v>
      </c>
      <c r="C28" s="53"/>
      <c r="D28" s="53"/>
      <c r="E28" s="213">
        <f>+Operacion!H295</f>
        <v>0</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f>+Operacion!H296</f>
        <v>0</v>
      </c>
      <c r="F32" s="214"/>
      <c r="G32" s="214"/>
      <c r="H32" s="215"/>
      <c r="I32" s="42"/>
    </row>
    <row r="33" spans="2:9" ht="20.25" customHeight="1" thickBot="1">
      <c r="B33" s="6"/>
      <c r="C33" s="55"/>
      <c r="D33" s="55"/>
      <c r="E33" s="219">
        <f>+Operacion!L296</f>
        <v>0</v>
      </c>
      <c r="F33" s="220"/>
      <c r="G33" s="220"/>
      <c r="H33" s="221"/>
      <c r="I33" s="42"/>
    </row>
    <row r="34" spans="2:9" ht="20.25" customHeight="1" thickBot="1">
      <c r="B34" s="6"/>
      <c r="C34" s="42"/>
      <c r="D34" s="42"/>
      <c r="E34" s="56"/>
      <c r="F34" s="55"/>
      <c r="G34" s="42"/>
      <c r="I34" s="42"/>
    </row>
    <row r="35" spans="2:9" ht="20.25" customHeight="1">
      <c r="B35" s="13" t="s">
        <v>260</v>
      </c>
      <c r="C35" s="53"/>
      <c r="D35" s="53"/>
      <c r="E35" s="204" t="s">
        <v>265</v>
      </c>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Bx7AQMGyLDodyADiZ3nWG+ePglDr/YlFd2MAaiyGm+dZEmO5ipon5iorsm+K+r3Pldvp5eQZ+YhtpJfni0sMtA==" saltValue="/7XnyJvqgtfH+EiAXSMUdw==" spinCount="100000" sheet="1" objects="1" scenarios="1"/>
  <dataConsolidate/>
  <mergeCells count="7">
    <mergeCell ref="E35:H38"/>
    <mergeCell ref="E21:H23"/>
    <mergeCell ref="E25:H25"/>
    <mergeCell ref="E26:H26"/>
    <mergeCell ref="E28:H30"/>
    <mergeCell ref="E32:H32"/>
    <mergeCell ref="E33:H33"/>
  </mergeCells>
  <pageMargins left="0.28000000000000003" right="0.12" top="0.64" bottom="1" header="0" footer="0"/>
  <pageSetup paperSize="9" orientation="portrait" horizontalDpi="4294967293"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18">
    <tabColor theme="4" tint="0.79998168889431442"/>
  </sheetPr>
  <dimension ref="A1:D27"/>
  <sheetViews>
    <sheetView workbookViewId="0">
      <selection activeCell="C11" sqref="C11"/>
    </sheetView>
  </sheetViews>
  <sheetFormatPr defaultColWidth="6.5703125" defaultRowHeight="15.6"/>
  <cols>
    <col min="1" max="1" width="8.140625" style="5" bestFit="1" customWidth="1"/>
    <col min="2" max="2" width="34.5703125" style="7" hidden="1" customWidth="1"/>
    <col min="3" max="3" width="31.42578125" style="7" bestFit="1" customWidth="1"/>
    <col min="4" max="4" width="15.85546875" style="7" hidden="1" customWidth="1"/>
    <col min="5" max="5" width="12" style="7" bestFit="1" customWidth="1"/>
    <col min="6" max="16384" width="6.5703125" style="7"/>
  </cols>
  <sheetData>
    <row r="1" spans="1:4" s="5" customFormat="1">
      <c r="A1" s="4" t="s">
        <v>104</v>
      </c>
      <c r="B1" s="4" t="s">
        <v>266</v>
      </c>
      <c r="C1" s="4" t="s">
        <v>107</v>
      </c>
      <c r="D1" s="4" t="s">
        <v>267</v>
      </c>
    </row>
    <row r="2" spans="1:4">
      <c r="A2" s="6" t="s">
        <v>268</v>
      </c>
      <c r="B2" s="2" t="s">
        <v>126</v>
      </c>
      <c r="C2" s="2" t="s">
        <v>53</v>
      </c>
      <c r="D2" s="2" t="s">
        <v>269</v>
      </c>
    </row>
    <row r="3" spans="1:4">
      <c r="A3" s="6" t="s">
        <v>270</v>
      </c>
      <c r="B3" s="2" t="s">
        <v>271</v>
      </c>
      <c r="C3" s="2" t="s">
        <v>62</v>
      </c>
      <c r="D3" s="2" t="s">
        <v>272</v>
      </c>
    </row>
    <row r="4" spans="1:4">
      <c r="A4" s="6" t="s">
        <v>273</v>
      </c>
      <c r="B4" s="2" t="s">
        <v>129</v>
      </c>
      <c r="C4" s="2" t="s">
        <v>274</v>
      </c>
      <c r="D4" s="2" t="s">
        <v>275</v>
      </c>
    </row>
    <row r="5" spans="1:4">
      <c r="A5" s="6" t="s">
        <v>276</v>
      </c>
      <c r="B5" s="2" t="s">
        <v>277</v>
      </c>
      <c r="C5" s="2" t="s">
        <v>121</v>
      </c>
      <c r="D5" s="2" t="s">
        <v>278</v>
      </c>
    </row>
    <row r="6" spans="1:4">
      <c r="A6" s="6" t="s">
        <v>279</v>
      </c>
      <c r="B6" s="2" t="s">
        <v>280</v>
      </c>
      <c r="C6" s="2" t="s">
        <v>38</v>
      </c>
      <c r="D6" s="2" t="s">
        <v>281</v>
      </c>
    </row>
    <row r="7" spans="1:4">
      <c r="A7" s="6" t="s">
        <v>282</v>
      </c>
      <c r="B7" s="2" t="s">
        <v>175</v>
      </c>
      <c r="C7" s="2" t="s">
        <v>283</v>
      </c>
      <c r="D7" s="2" t="s">
        <v>284</v>
      </c>
    </row>
    <row r="8" spans="1:4">
      <c r="A8" s="6" t="s">
        <v>285</v>
      </c>
      <c r="B8" s="2" t="s">
        <v>198</v>
      </c>
      <c r="C8" s="2" t="s">
        <v>286</v>
      </c>
      <c r="D8" s="2" t="s">
        <v>287</v>
      </c>
    </row>
    <row r="9" spans="1:4">
      <c r="A9" s="6" t="s">
        <v>288</v>
      </c>
      <c r="B9" s="2" t="s">
        <v>289</v>
      </c>
      <c r="C9" s="2" t="s">
        <v>112</v>
      </c>
      <c r="D9" s="2"/>
    </row>
    <row r="10" spans="1:4">
      <c r="A10" s="6" t="s">
        <v>290</v>
      </c>
      <c r="B10" s="2" t="s">
        <v>289</v>
      </c>
      <c r="C10" s="2" t="s">
        <v>11</v>
      </c>
      <c r="D10" s="2"/>
    </row>
    <row r="11" spans="1:4">
      <c r="A11" s="6"/>
      <c r="B11" s="2"/>
      <c r="C11" s="2"/>
      <c r="D11" s="2"/>
    </row>
    <row r="17" spans="1:3">
      <c r="A17" s="33">
        <v>0</v>
      </c>
      <c r="B17" s="34"/>
      <c r="C17" s="34" t="s">
        <v>291</v>
      </c>
    </row>
    <row r="18" spans="1:3">
      <c r="A18" s="31">
        <v>1</v>
      </c>
      <c r="B18" s="32"/>
      <c r="C18" s="32" t="s">
        <v>292</v>
      </c>
    </row>
    <row r="19" spans="1:3">
      <c r="A19" s="28">
        <v>2</v>
      </c>
      <c r="B19" s="29"/>
      <c r="C19" s="29" t="s">
        <v>293</v>
      </c>
    </row>
    <row r="20" spans="1:3">
      <c r="A20" s="30">
        <v>3</v>
      </c>
      <c r="B20" s="27"/>
      <c r="C20" s="27" t="s">
        <v>294</v>
      </c>
    </row>
    <row r="24" spans="1:3">
      <c r="A24" s="33">
        <v>0</v>
      </c>
      <c r="B24" s="34"/>
      <c r="C24" s="34" t="s">
        <v>295</v>
      </c>
    </row>
    <row r="25" spans="1:3">
      <c r="A25" s="119">
        <v>1</v>
      </c>
      <c r="B25" s="120"/>
      <c r="C25" s="120" t="s">
        <v>296</v>
      </c>
    </row>
    <row r="26" spans="1:3">
      <c r="A26" s="119">
        <v>2</v>
      </c>
      <c r="B26" s="120"/>
      <c r="C26" s="120" t="s">
        <v>297</v>
      </c>
    </row>
    <row r="27" spans="1:3">
      <c r="A27" s="119">
        <v>3</v>
      </c>
      <c r="B27" s="120"/>
      <c r="C27" s="120" t="s">
        <v>298</v>
      </c>
    </row>
  </sheetData>
  <sheetProtection algorithmName="SHA-512" hashValue="RPRnfAln034xuKuuTydALVw6jhEaMIFwNgQGdWDA6whBI2/q/Nkye39QVhJZiDTQU3ZMt+xuEgXQbMJreHY8Zg==" saltValue="oOo3TUo1WVi7w8Jtg6wlOA==" spinCount="100000" sheet="1" objects="1" scenarios="1"/>
  <sortState xmlns:xlrd2="http://schemas.microsoft.com/office/spreadsheetml/2017/richdata2" ref="A25:C27">
    <sortCondition ref="A25:A27"/>
  </sortState>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39"/>
  <dimension ref="A1:J265"/>
  <sheetViews>
    <sheetView topLeftCell="A62" zoomScaleNormal="100" workbookViewId="0">
      <selection activeCell="B69" sqref="B69"/>
    </sheetView>
  </sheetViews>
  <sheetFormatPr defaultColWidth="11.42578125" defaultRowHeight="25.9"/>
  <cols>
    <col min="1" max="1" width="11.85546875" style="124" bestFit="1" customWidth="1"/>
    <col min="2" max="2" width="24" style="131" bestFit="1" customWidth="1"/>
    <col min="3" max="3" width="7.28515625" style="130" bestFit="1" customWidth="1"/>
    <col min="4" max="4" width="22.28515625" style="124" bestFit="1" customWidth="1"/>
    <col min="5" max="5" width="22.42578125" style="124" bestFit="1" customWidth="1"/>
    <col min="6" max="6" width="22.28515625" style="126" customWidth="1"/>
    <col min="7" max="7" width="19" style="123" bestFit="1" customWidth="1"/>
    <col min="8" max="8" width="23.28515625" style="124" bestFit="1" customWidth="1"/>
    <col min="9" max="9" width="20.5703125" style="124" bestFit="1" customWidth="1"/>
    <col min="10" max="236" width="11.42578125" style="124"/>
    <col min="237" max="237" width="10.5703125" style="124" bestFit="1" customWidth="1"/>
    <col min="238" max="238" width="15.140625" style="124" customWidth="1"/>
    <col min="239" max="239" width="18.28515625" style="124" customWidth="1"/>
    <col min="240" max="240" width="11.42578125" style="124"/>
    <col min="241" max="241" width="15.140625" style="124" customWidth="1"/>
    <col min="242" max="242" width="12.28515625" style="124" bestFit="1" customWidth="1"/>
    <col min="243" max="243" width="14.42578125" style="124" bestFit="1" customWidth="1"/>
    <col min="244" max="492" width="11.42578125" style="124"/>
    <col min="493" max="493" width="10.5703125" style="124" bestFit="1" customWidth="1"/>
    <col min="494" max="494" width="15.140625" style="124" customWidth="1"/>
    <col min="495" max="495" width="18.28515625" style="124" customWidth="1"/>
    <col min="496" max="496" width="11.42578125" style="124"/>
    <col min="497" max="497" width="15.140625" style="124" customWidth="1"/>
    <col min="498" max="498" width="12.28515625" style="124" bestFit="1" customWidth="1"/>
    <col min="499" max="499" width="14.42578125" style="124" bestFit="1" customWidth="1"/>
    <col min="500" max="748" width="11.42578125" style="124"/>
    <col min="749" max="749" width="10.5703125" style="124" bestFit="1" customWidth="1"/>
    <col min="750" max="750" width="15.140625" style="124" customWidth="1"/>
    <col min="751" max="751" width="18.28515625" style="124" customWidth="1"/>
    <col min="752" max="752" width="11.42578125" style="124"/>
    <col min="753" max="753" width="15.140625" style="124" customWidth="1"/>
    <col min="754" max="754" width="12.28515625" style="124" bestFit="1" customWidth="1"/>
    <col min="755" max="755" width="14.42578125" style="124" bestFit="1" customWidth="1"/>
    <col min="756" max="1004" width="11.42578125" style="124"/>
    <col min="1005" max="1005" width="10.5703125" style="124" bestFit="1" customWidth="1"/>
    <col min="1006" max="1006" width="15.140625" style="124" customWidth="1"/>
    <col min="1007" max="1007" width="18.28515625" style="124" customWidth="1"/>
    <col min="1008" max="1008" width="11.42578125" style="124"/>
    <col min="1009" max="1009" width="15.140625" style="124" customWidth="1"/>
    <col min="1010" max="1010" width="12.28515625" style="124" bestFit="1" customWidth="1"/>
    <col min="1011" max="1011" width="14.42578125" style="124" bestFit="1" customWidth="1"/>
    <col min="1012" max="1260" width="11.42578125" style="124"/>
    <col min="1261" max="1261" width="10.5703125" style="124" bestFit="1" customWidth="1"/>
    <col min="1262" max="1262" width="15.140625" style="124" customWidth="1"/>
    <col min="1263" max="1263" width="18.28515625" style="124" customWidth="1"/>
    <col min="1264" max="1264" width="11.42578125" style="124"/>
    <col min="1265" max="1265" width="15.140625" style="124" customWidth="1"/>
    <col min="1266" max="1266" width="12.28515625" style="124" bestFit="1" customWidth="1"/>
    <col min="1267" max="1267" width="14.42578125" style="124" bestFit="1" customWidth="1"/>
    <col min="1268" max="1516" width="11.42578125" style="124"/>
    <col min="1517" max="1517" width="10.5703125" style="124" bestFit="1" customWidth="1"/>
    <col min="1518" max="1518" width="15.140625" style="124" customWidth="1"/>
    <col min="1519" max="1519" width="18.28515625" style="124" customWidth="1"/>
    <col min="1520" max="1520" width="11.42578125" style="124"/>
    <col min="1521" max="1521" width="15.140625" style="124" customWidth="1"/>
    <col min="1522" max="1522" width="12.28515625" style="124" bestFit="1" customWidth="1"/>
    <col min="1523" max="1523" width="14.42578125" style="124" bestFit="1" customWidth="1"/>
    <col min="1524" max="1772" width="11.42578125" style="124"/>
    <col min="1773" max="1773" width="10.5703125" style="124" bestFit="1" customWidth="1"/>
    <col min="1774" max="1774" width="15.140625" style="124" customWidth="1"/>
    <col min="1775" max="1775" width="18.28515625" style="124" customWidth="1"/>
    <col min="1776" max="1776" width="11.42578125" style="124"/>
    <col min="1777" max="1777" width="15.140625" style="124" customWidth="1"/>
    <col min="1778" max="1778" width="12.28515625" style="124" bestFit="1" customWidth="1"/>
    <col min="1779" max="1779" width="14.42578125" style="124" bestFit="1" customWidth="1"/>
    <col min="1780" max="2028" width="11.42578125" style="124"/>
    <col min="2029" max="2029" width="10.5703125" style="124" bestFit="1" customWidth="1"/>
    <col min="2030" max="2030" width="15.140625" style="124" customWidth="1"/>
    <col min="2031" max="2031" width="18.28515625" style="124" customWidth="1"/>
    <col min="2032" max="2032" width="11.42578125" style="124"/>
    <col min="2033" max="2033" width="15.140625" style="124" customWidth="1"/>
    <col min="2034" max="2034" width="12.28515625" style="124" bestFit="1" customWidth="1"/>
    <col min="2035" max="2035" width="14.42578125" style="124" bestFit="1" customWidth="1"/>
    <col min="2036" max="2284" width="11.42578125" style="124"/>
    <col min="2285" max="2285" width="10.5703125" style="124" bestFit="1" customWidth="1"/>
    <col min="2286" max="2286" width="15.140625" style="124" customWidth="1"/>
    <col min="2287" max="2287" width="18.28515625" style="124" customWidth="1"/>
    <col min="2288" max="2288" width="11.42578125" style="124"/>
    <col min="2289" max="2289" width="15.140625" style="124" customWidth="1"/>
    <col min="2290" max="2290" width="12.28515625" style="124" bestFit="1" customWidth="1"/>
    <col min="2291" max="2291" width="14.42578125" style="124" bestFit="1" customWidth="1"/>
    <col min="2292" max="2540" width="11.42578125" style="124"/>
    <col min="2541" max="2541" width="10.5703125" style="124" bestFit="1" customWidth="1"/>
    <col min="2542" max="2542" width="15.140625" style="124" customWidth="1"/>
    <col min="2543" max="2543" width="18.28515625" style="124" customWidth="1"/>
    <col min="2544" max="2544" width="11.42578125" style="124"/>
    <col min="2545" max="2545" width="15.140625" style="124" customWidth="1"/>
    <col min="2546" max="2546" width="12.28515625" style="124" bestFit="1" customWidth="1"/>
    <col min="2547" max="2547" width="14.42578125" style="124" bestFit="1" customWidth="1"/>
    <col min="2548" max="2796" width="11.42578125" style="124"/>
    <col min="2797" max="2797" width="10.5703125" style="124" bestFit="1" customWidth="1"/>
    <col min="2798" max="2798" width="15.140625" style="124" customWidth="1"/>
    <col min="2799" max="2799" width="18.28515625" style="124" customWidth="1"/>
    <col min="2800" max="2800" width="11.42578125" style="124"/>
    <col min="2801" max="2801" width="15.140625" style="124" customWidth="1"/>
    <col min="2802" max="2802" width="12.28515625" style="124" bestFit="1" customWidth="1"/>
    <col min="2803" max="2803" width="14.42578125" style="124" bestFit="1" customWidth="1"/>
    <col min="2804" max="3052" width="11.42578125" style="124"/>
    <col min="3053" max="3053" width="10.5703125" style="124" bestFit="1" customWidth="1"/>
    <col min="3054" max="3054" width="15.140625" style="124" customWidth="1"/>
    <col min="3055" max="3055" width="18.28515625" style="124" customWidth="1"/>
    <col min="3056" max="3056" width="11.42578125" style="124"/>
    <col min="3057" max="3057" width="15.140625" style="124" customWidth="1"/>
    <col min="3058" max="3058" width="12.28515625" style="124" bestFit="1" customWidth="1"/>
    <col min="3059" max="3059" width="14.42578125" style="124" bestFit="1" customWidth="1"/>
    <col min="3060" max="3308" width="11.42578125" style="124"/>
    <col min="3309" max="3309" width="10.5703125" style="124" bestFit="1" customWidth="1"/>
    <col min="3310" max="3310" width="15.140625" style="124" customWidth="1"/>
    <col min="3311" max="3311" width="18.28515625" style="124" customWidth="1"/>
    <col min="3312" max="3312" width="11.42578125" style="124"/>
    <col min="3313" max="3313" width="15.140625" style="124" customWidth="1"/>
    <col min="3314" max="3314" width="12.28515625" style="124" bestFit="1" customWidth="1"/>
    <col min="3315" max="3315" width="14.42578125" style="124" bestFit="1" customWidth="1"/>
    <col min="3316" max="3564" width="11.42578125" style="124"/>
    <col min="3565" max="3565" width="10.5703125" style="124" bestFit="1" customWidth="1"/>
    <col min="3566" max="3566" width="15.140625" style="124" customWidth="1"/>
    <col min="3567" max="3567" width="18.28515625" style="124" customWidth="1"/>
    <col min="3568" max="3568" width="11.42578125" style="124"/>
    <col min="3569" max="3569" width="15.140625" style="124" customWidth="1"/>
    <col min="3570" max="3570" width="12.28515625" style="124" bestFit="1" customWidth="1"/>
    <col min="3571" max="3571" width="14.42578125" style="124" bestFit="1" customWidth="1"/>
    <col min="3572" max="3820" width="11.42578125" style="124"/>
    <col min="3821" max="3821" width="10.5703125" style="124" bestFit="1" customWidth="1"/>
    <col min="3822" max="3822" width="15.140625" style="124" customWidth="1"/>
    <col min="3823" max="3823" width="18.28515625" style="124" customWidth="1"/>
    <col min="3824" max="3824" width="11.42578125" style="124"/>
    <col min="3825" max="3825" width="15.140625" style="124" customWidth="1"/>
    <col min="3826" max="3826" width="12.28515625" style="124" bestFit="1" customWidth="1"/>
    <col min="3827" max="3827" width="14.42578125" style="124" bestFit="1" customWidth="1"/>
    <col min="3828" max="4076" width="11.42578125" style="124"/>
    <col min="4077" max="4077" width="10.5703125" style="124" bestFit="1" customWidth="1"/>
    <col min="4078" max="4078" width="15.140625" style="124" customWidth="1"/>
    <col min="4079" max="4079" width="18.28515625" style="124" customWidth="1"/>
    <col min="4080" max="4080" width="11.42578125" style="124"/>
    <col min="4081" max="4081" width="15.140625" style="124" customWidth="1"/>
    <col min="4082" max="4082" width="12.28515625" style="124" bestFit="1" customWidth="1"/>
    <col min="4083" max="4083" width="14.42578125" style="124" bestFit="1" customWidth="1"/>
    <col min="4084" max="4332" width="11.42578125" style="124"/>
    <col min="4333" max="4333" width="10.5703125" style="124" bestFit="1" customWidth="1"/>
    <col min="4334" max="4334" width="15.140625" style="124" customWidth="1"/>
    <col min="4335" max="4335" width="18.28515625" style="124" customWidth="1"/>
    <col min="4336" max="4336" width="11.42578125" style="124"/>
    <col min="4337" max="4337" width="15.140625" style="124" customWidth="1"/>
    <col min="4338" max="4338" width="12.28515625" style="124" bestFit="1" customWidth="1"/>
    <col min="4339" max="4339" width="14.42578125" style="124" bestFit="1" customWidth="1"/>
    <col min="4340" max="4588" width="11.42578125" style="124"/>
    <col min="4589" max="4589" width="10.5703125" style="124" bestFit="1" customWidth="1"/>
    <col min="4590" max="4590" width="15.140625" style="124" customWidth="1"/>
    <col min="4591" max="4591" width="18.28515625" style="124" customWidth="1"/>
    <col min="4592" max="4592" width="11.42578125" style="124"/>
    <col min="4593" max="4593" width="15.140625" style="124" customWidth="1"/>
    <col min="4594" max="4594" width="12.28515625" style="124" bestFit="1" customWidth="1"/>
    <col min="4595" max="4595" width="14.42578125" style="124" bestFit="1" customWidth="1"/>
    <col min="4596" max="4844" width="11.42578125" style="124"/>
    <col min="4845" max="4845" width="10.5703125" style="124" bestFit="1" customWidth="1"/>
    <col min="4846" max="4846" width="15.140625" style="124" customWidth="1"/>
    <col min="4847" max="4847" width="18.28515625" style="124" customWidth="1"/>
    <col min="4848" max="4848" width="11.42578125" style="124"/>
    <col min="4849" max="4849" width="15.140625" style="124" customWidth="1"/>
    <col min="4850" max="4850" width="12.28515625" style="124" bestFit="1" customWidth="1"/>
    <col min="4851" max="4851" width="14.42578125" style="124" bestFit="1" customWidth="1"/>
    <col min="4852" max="5100" width="11.42578125" style="124"/>
    <col min="5101" max="5101" width="10.5703125" style="124" bestFit="1" customWidth="1"/>
    <col min="5102" max="5102" width="15.140625" style="124" customWidth="1"/>
    <col min="5103" max="5103" width="18.28515625" style="124" customWidth="1"/>
    <col min="5104" max="5104" width="11.42578125" style="124"/>
    <col min="5105" max="5105" width="15.140625" style="124" customWidth="1"/>
    <col min="5106" max="5106" width="12.28515625" style="124" bestFit="1" customWidth="1"/>
    <col min="5107" max="5107" width="14.42578125" style="124" bestFit="1" customWidth="1"/>
    <col min="5108" max="5356" width="11.42578125" style="124"/>
    <col min="5357" max="5357" width="10.5703125" style="124" bestFit="1" customWidth="1"/>
    <col min="5358" max="5358" width="15.140625" style="124" customWidth="1"/>
    <col min="5359" max="5359" width="18.28515625" style="124" customWidth="1"/>
    <col min="5360" max="5360" width="11.42578125" style="124"/>
    <col min="5361" max="5361" width="15.140625" style="124" customWidth="1"/>
    <col min="5362" max="5362" width="12.28515625" style="124" bestFit="1" customWidth="1"/>
    <col min="5363" max="5363" width="14.42578125" style="124" bestFit="1" customWidth="1"/>
    <col min="5364" max="5612" width="11.42578125" style="124"/>
    <col min="5613" max="5613" width="10.5703125" style="124" bestFit="1" customWidth="1"/>
    <col min="5614" max="5614" width="15.140625" style="124" customWidth="1"/>
    <col min="5615" max="5615" width="18.28515625" style="124" customWidth="1"/>
    <col min="5616" max="5616" width="11.42578125" style="124"/>
    <col min="5617" max="5617" width="15.140625" style="124" customWidth="1"/>
    <col min="5618" max="5618" width="12.28515625" style="124" bestFit="1" customWidth="1"/>
    <col min="5619" max="5619" width="14.42578125" style="124" bestFit="1" customWidth="1"/>
    <col min="5620" max="5868" width="11.42578125" style="124"/>
    <col min="5869" max="5869" width="10.5703125" style="124" bestFit="1" customWidth="1"/>
    <col min="5870" max="5870" width="15.140625" style="124" customWidth="1"/>
    <col min="5871" max="5871" width="18.28515625" style="124" customWidth="1"/>
    <col min="5872" max="5872" width="11.42578125" style="124"/>
    <col min="5873" max="5873" width="15.140625" style="124" customWidth="1"/>
    <col min="5874" max="5874" width="12.28515625" style="124" bestFit="1" customWidth="1"/>
    <col min="5875" max="5875" width="14.42578125" style="124" bestFit="1" customWidth="1"/>
    <col min="5876" max="6124" width="11.42578125" style="124"/>
    <col min="6125" max="6125" width="10.5703125" style="124" bestFit="1" customWidth="1"/>
    <col min="6126" max="6126" width="15.140625" style="124" customWidth="1"/>
    <col min="6127" max="6127" width="18.28515625" style="124" customWidth="1"/>
    <col min="6128" max="6128" width="11.42578125" style="124"/>
    <col min="6129" max="6129" width="15.140625" style="124" customWidth="1"/>
    <col min="6130" max="6130" width="12.28515625" style="124" bestFit="1" customWidth="1"/>
    <col min="6131" max="6131" width="14.42578125" style="124" bestFit="1" customWidth="1"/>
    <col min="6132" max="6380" width="11.42578125" style="124"/>
    <col min="6381" max="6381" width="10.5703125" style="124" bestFit="1" customWidth="1"/>
    <col min="6382" max="6382" width="15.140625" style="124" customWidth="1"/>
    <col min="6383" max="6383" width="18.28515625" style="124" customWidth="1"/>
    <col min="6384" max="6384" width="11.42578125" style="124"/>
    <col min="6385" max="6385" width="15.140625" style="124" customWidth="1"/>
    <col min="6386" max="6386" width="12.28515625" style="124" bestFit="1" customWidth="1"/>
    <col min="6387" max="6387" width="14.42578125" style="124" bestFit="1" customWidth="1"/>
    <col min="6388" max="6636" width="11.42578125" style="124"/>
    <col min="6637" max="6637" width="10.5703125" style="124" bestFit="1" customWidth="1"/>
    <col min="6638" max="6638" width="15.140625" style="124" customWidth="1"/>
    <col min="6639" max="6639" width="18.28515625" style="124" customWidth="1"/>
    <col min="6640" max="6640" width="11.42578125" style="124"/>
    <col min="6641" max="6641" width="15.140625" style="124" customWidth="1"/>
    <col min="6642" max="6642" width="12.28515625" style="124" bestFit="1" customWidth="1"/>
    <col min="6643" max="6643" width="14.42578125" style="124" bestFit="1" customWidth="1"/>
    <col min="6644" max="6892" width="11.42578125" style="124"/>
    <col min="6893" max="6893" width="10.5703125" style="124" bestFit="1" customWidth="1"/>
    <col min="6894" max="6894" width="15.140625" style="124" customWidth="1"/>
    <col min="6895" max="6895" width="18.28515625" style="124" customWidth="1"/>
    <col min="6896" max="6896" width="11.42578125" style="124"/>
    <col min="6897" max="6897" width="15.140625" style="124" customWidth="1"/>
    <col min="6898" max="6898" width="12.28515625" style="124" bestFit="1" customWidth="1"/>
    <col min="6899" max="6899" width="14.42578125" style="124" bestFit="1" customWidth="1"/>
    <col min="6900" max="7148" width="11.42578125" style="124"/>
    <col min="7149" max="7149" width="10.5703125" style="124" bestFit="1" customWidth="1"/>
    <col min="7150" max="7150" width="15.140625" style="124" customWidth="1"/>
    <col min="7151" max="7151" width="18.28515625" style="124" customWidth="1"/>
    <col min="7152" max="7152" width="11.42578125" style="124"/>
    <col min="7153" max="7153" width="15.140625" style="124" customWidth="1"/>
    <col min="7154" max="7154" width="12.28515625" style="124" bestFit="1" customWidth="1"/>
    <col min="7155" max="7155" width="14.42578125" style="124" bestFit="1" customWidth="1"/>
    <col min="7156" max="7404" width="11.42578125" style="124"/>
    <col min="7405" max="7405" width="10.5703125" style="124" bestFit="1" customWidth="1"/>
    <col min="7406" max="7406" width="15.140625" style="124" customWidth="1"/>
    <col min="7407" max="7407" width="18.28515625" style="124" customWidth="1"/>
    <col min="7408" max="7408" width="11.42578125" style="124"/>
    <col min="7409" max="7409" width="15.140625" style="124" customWidth="1"/>
    <col min="7410" max="7410" width="12.28515625" style="124" bestFit="1" customWidth="1"/>
    <col min="7411" max="7411" width="14.42578125" style="124" bestFit="1" customWidth="1"/>
    <col min="7412" max="7660" width="11.42578125" style="124"/>
    <col min="7661" max="7661" width="10.5703125" style="124" bestFit="1" customWidth="1"/>
    <col min="7662" max="7662" width="15.140625" style="124" customWidth="1"/>
    <col min="7663" max="7663" width="18.28515625" style="124" customWidth="1"/>
    <col min="7664" max="7664" width="11.42578125" style="124"/>
    <col min="7665" max="7665" width="15.140625" style="124" customWidth="1"/>
    <col min="7666" max="7666" width="12.28515625" style="124" bestFit="1" customWidth="1"/>
    <col min="7667" max="7667" width="14.42578125" style="124" bestFit="1" customWidth="1"/>
    <col min="7668" max="7916" width="11.42578125" style="124"/>
    <col min="7917" max="7917" width="10.5703125" style="124" bestFit="1" customWidth="1"/>
    <col min="7918" max="7918" width="15.140625" style="124" customWidth="1"/>
    <col min="7919" max="7919" width="18.28515625" style="124" customWidth="1"/>
    <col min="7920" max="7920" width="11.42578125" style="124"/>
    <col min="7921" max="7921" width="15.140625" style="124" customWidth="1"/>
    <col min="7922" max="7922" width="12.28515625" style="124" bestFit="1" customWidth="1"/>
    <col min="7923" max="7923" width="14.42578125" style="124" bestFit="1" customWidth="1"/>
    <col min="7924" max="8172" width="11.42578125" style="124"/>
    <col min="8173" max="8173" width="10.5703125" style="124" bestFit="1" customWidth="1"/>
    <col min="8174" max="8174" width="15.140625" style="124" customWidth="1"/>
    <col min="8175" max="8175" width="18.28515625" style="124" customWidth="1"/>
    <col min="8176" max="8176" width="11.42578125" style="124"/>
    <col min="8177" max="8177" width="15.140625" style="124" customWidth="1"/>
    <col min="8178" max="8178" width="12.28515625" style="124" bestFit="1" customWidth="1"/>
    <col min="8179" max="8179" width="14.42578125" style="124" bestFit="1" customWidth="1"/>
    <col min="8180" max="8428" width="11.42578125" style="124"/>
    <col min="8429" max="8429" width="10.5703125" style="124" bestFit="1" customWidth="1"/>
    <col min="8430" max="8430" width="15.140625" style="124" customWidth="1"/>
    <col min="8431" max="8431" width="18.28515625" style="124" customWidth="1"/>
    <col min="8432" max="8432" width="11.42578125" style="124"/>
    <col min="8433" max="8433" width="15.140625" style="124" customWidth="1"/>
    <col min="8434" max="8434" width="12.28515625" style="124" bestFit="1" customWidth="1"/>
    <col min="8435" max="8435" width="14.42578125" style="124" bestFit="1" customWidth="1"/>
    <col min="8436" max="8684" width="11.42578125" style="124"/>
    <col min="8685" max="8685" width="10.5703125" style="124" bestFit="1" customWidth="1"/>
    <col min="8686" max="8686" width="15.140625" style="124" customWidth="1"/>
    <col min="8687" max="8687" width="18.28515625" style="124" customWidth="1"/>
    <col min="8688" max="8688" width="11.42578125" style="124"/>
    <col min="8689" max="8689" width="15.140625" style="124" customWidth="1"/>
    <col min="8690" max="8690" width="12.28515625" style="124" bestFit="1" customWidth="1"/>
    <col min="8691" max="8691" width="14.42578125" style="124" bestFit="1" customWidth="1"/>
    <col min="8692" max="8940" width="11.42578125" style="124"/>
    <col min="8941" max="8941" width="10.5703125" style="124" bestFit="1" customWidth="1"/>
    <col min="8942" max="8942" width="15.140625" style="124" customWidth="1"/>
    <col min="8943" max="8943" width="18.28515625" style="124" customWidth="1"/>
    <col min="8944" max="8944" width="11.42578125" style="124"/>
    <col min="8945" max="8945" width="15.140625" style="124" customWidth="1"/>
    <col min="8946" max="8946" width="12.28515625" style="124" bestFit="1" customWidth="1"/>
    <col min="8947" max="8947" width="14.42578125" style="124" bestFit="1" customWidth="1"/>
    <col min="8948" max="9196" width="11.42578125" style="124"/>
    <col min="9197" max="9197" width="10.5703125" style="124" bestFit="1" customWidth="1"/>
    <col min="9198" max="9198" width="15.140625" style="124" customWidth="1"/>
    <col min="9199" max="9199" width="18.28515625" style="124" customWidth="1"/>
    <col min="9200" max="9200" width="11.42578125" style="124"/>
    <col min="9201" max="9201" width="15.140625" style="124" customWidth="1"/>
    <col min="9202" max="9202" width="12.28515625" style="124" bestFit="1" customWidth="1"/>
    <col min="9203" max="9203" width="14.42578125" style="124" bestFit="1" customWidth="1"/>
    <col min="9204" max="9452" width="11.42578125" style="124"/>
    <col min="9453" max="9453" width="10.5703125" style="124" bestFit="1" customWidth="1"/>
    <col min="9454" max="9454" width="15.140625" style="124" customWidth="1"/>
    <col min="9455" max="9455" width="18.28515625" style="124" customWidth="1"/>
    <col min="9456" max="9456" width="11.42578125" style="124"/>
    <col min="9457" max="9457" width="15.140625" style="124" customWidth="1"/>
    <col min="9458" max="9458" width="12.28515625" style="124" bestFit="1" customWidth="1"/>
    <col min="9459" max="9459" width="14.42578125" style="124" bestFit="1" customWidth="1"/>
    <col min="9460" max="9708" width="11.42578125" style="124"/>
    <col min="9709" max="9709" width="10.5703125" style="124" bestFit="1" customWidth="1"/>
    <col min="9710" max="9710" width="15.140625" style="124" customWidth="1"/>
    <col min="9711" max="9711" width="18.28515625" style="124" customWidth="1"/>
    <col min="9712" max="9712" width="11.42578125" style="124"/>
    <col min="9713" max="9713" width="15.140625" style="124" customWidth="1"/>
    <col min="9714" max="9714" width="12.28515625" style="124" bestFit="1" customWidth="1"/>
    <col min="9715" max="9715" width="14.42578125" style="124" bestFit="1" customWidth="1"/>
    <col min="9716" max="9964" width="11.42578125" style="124"/>
    <col min="9965" max="9965" width="10.5703125" style="124" bestFit="1" customWidth="1"/>
    <col min="9966" max="9966" width="15.140625" style="124" customWidth="1"/>
    <col min="9967" max="9967" width="18.28515625" style="124" customWidth="1"/>
    <col min="9968" max="9968" width="11.42578125" style="124"/>
    <col min="9969" max="9969" width="15.140625" style="124" customWidth="1"/>
    <col min="9970" max="9970" width="12.28515625" style="124" bestFit="1" customWidth="1"/>
    <col min="9971" max="9971" width="14.42578125" style="124" bestFit="1" customWidth="1"/>
    <col min="9972" max="10220" width="11.42578125" style="124"/>
    <col min="10221" max="10221" width="10.5703125" style="124" bestFit="1" customWidth="1"/>
    <col min="10222" max="10222" width="15.140625" style="124" customWidth="1"/>
    <col min="10223" max="10223" width="18.28515625" style="124" customWidth="1"/>
    <col min="10224" max="10224" width="11.42578125" style="124"/>
    <col min="10225" max="10225" width="15.140625" style="124" customWidth="1"/>
    <col min="10226" max="10226" width="12.28515625" style="124" bestFit="1" customWidth="1"/>
    <col min="10227" max="10227" width="14.42578125" style="124" bestFit="1" customWidth="1"/>
    <col min="10228" max="10476" width="11.42578125" style="124"/>
    <col min="10477" max="10477" width="10.5703125" style="124" bestFit="1" customWidth="1"/>
    <col min="10478" max="10478" width="15.140625" style="124" customWidth="1"/>
    <col min="10479" max="10479" width="18.28515625" style="124" customWidth="1"/>
    <col min="10480" max="10480" width="11.42578125" style="124"/>
    <col min="10481" max="10481" width="15.140625" style="124" customWidth="1"/>
    <col min="10482" max="10482" width="12.28515625" style="124" bestFit="1" customWidth="1"/>
    <col min="10483" max="10483" width="14.42578125" style="124" bestFit="1" customWidth="1"/>
    <col min="10484" max="10732" width="11.42578125" style="124"/>
    <col min="10733" max="10733" width="10.5703125" style="124" bestFit="1" customWidth="1"/>
    <col min="10734" max="10734" width="15.140625" style="124" customWidth="1"/>
    <col min="10735" max="10735" width="18.28515625" style="124" customWidth="1"/>
    <col min="10736" max="10736" width="11.42578125" style="124"/>
    <col min="10737" max="10737" width="15.140625" style="124" customWidth="1"/>
    <col min="10738" max="10738" width="12.28515625" style="124" bestFit="1" customWidth="1"/>
    <col min="10739" max="10739" width="14.42578125" style="124" bestFit="1" customWidth="1"/>
    <col min="10740" max="10988" width="11.42578125" style="124"/>
    <col min="10989" max="10989" width="10.5703125" style="124" bestFit="1" customWidth="1"/>
    <col min="10990" max="10990" width="15.140625" style="124" customWidth="1"/>
    <col min="10991" max="10991" width="18.28515625" style="124" customWidth="1"/>
    <col min="10992" max="10992" width="11.42578125" style="124"/>
    <col min="10993" max="10993" width="15.140625" style="124" customWidth="1"/>
    <col min="10994" max="10994" width="12.28515625" style="124" bestFit="1" customWidth="1"/>
    <col min="10995" max="10995" width="14.42578125" style="124" bestFit="1" customWidth="1"/>
    <col min="10996" max="11244" width="11.42578125" style="124"/>
    <col min="11245" max="11245" width="10.5703125" style="124" bestFit="1" customWidth="1"/>
    <col min="11246" max="11246" width="15.140625" style="124" customWidth="1"/>
    <col min="11247" max="11247" width="18.28515625" style="124" customWidth="1"/>
    <col min="11248" max="11248" width="11.42578125" style="124"/>
    <col min="11249" max="11249" width="15.140625" style="124" customWidth="1"/>
    <col min="11250" max="11250" width="12.28515625" style="124" bestFit="1" customWidth="1"/>
    <col min="11251" max="11251" width="14.42578125" style="124" bestFit="1" customWidth="1"/>
    <col min="11252" max="11500" width="11.42578125" style="124"/>
    <col min="11501" max="11501" width="10.5703125" style="124" bestFit="1" customWidth="1"/>
    <col min="11502" max="11502" width="15.140625" style="124" customWidth="1"/>
    <col min="11503" max="11503" width="18.28515625" style="124" customWidth="1"/>
    <col min="11504" max="11504" width="11.42578125" style="124"/>
    <col min="11505" max="11505" width="15.140625" style="124" customWidth="1"/>
    <col min="11506" max="11506" width="12.28515625" style="124" bestFit="1" customWidth="1"/>
    <col min="11507" max="11507" width="14.42578125" style="124" bestFit="1" customWidth="1"/>
    <col min="11508" max="11756" width="11.42578125" style="124"/>
    <col min="11757" max="11757" width="10.5703125" style="124" bestFit="1" customWidth="1"/>
    <col min="11758" max="11758" width="15.140625" style="124" customWidth="1"/>
    <col min="11759" max="11759" width="18.28515625" style="124" customWidth="1"/>
    <col min="11760" max="11760" width="11.42578125" style="124"/>
    <col min="11761" max="11761" width="15.140625" style="124" customWidth="1"/>
    <col min="11762" max="11762" width="12.28515625" style="124" bestFit="1" customWidth="1"/>
    <col min="11763" max="11763" width="14.42578125" style="124" bestFit="1" customWidth="1"/>
    <col min="11764" max="12012" width="11.42578125" style="124"/>
    <col min="12013" max="12013" width="10.5703125" style="124" bestFit="1" customWidth="1"/>
    <col min="12014" max="12014" width="15.140625" style="124" customWidth="1"/>
    <col min="12015" max="12015" width="18.28515625" style="124" customWidth="1"/>
    <col min="12016" max="12016" width="11.42578125" style="124"/>
    <col min="12017" max="12017" width="15.140625" style="124" customWidth="1"/>
    <col min="12018" max="12018" width="12.28515625" style="124" bestFit="1" customWidth="1"/>
    <col min="12019" max="12019" width="14.42578125" style="124" bestFit="1" customWidth="1"/>
    <col min="12020" max="12268" width="11.42578125" style="124"/>
    <col min="12269" max="12269" width="10.5703125" style="124" bestFit="1" customWidth="1"/>
    <col min="12270" max="12270" width="15.140625" style="124" customWidth="1"/>
    <col min="12271" max="12271" width="18.28515625" style="124" customWidth="1"/>
    <col min="12272" max="12272" width="11.42578125" style="124"/>
    <col min="12273" max="12273" width="15.140625" style="124" customWidth="1"/>
    <col min="12274" max="12274" width="12.28515625" style="124" bestFit="1" customWidth="1"/>
    <col min="12275" max="12275" width="14.42578125" style="124" bestFit="1" customWidth="1"/>
    <col min="12276" max="12524" width="11.42578125" style="124"/>
    <col min="12525" max="12525" width="10.5703125" style="124" bestFit="1" customWidth="1"/>
    <col min="12526" max="12526" width="15.140625" style="124" customWidth="1"/>
    <col min="12527" max="12527" width="18.28515625" style="124" customWidth="1"/>
    <col min="12528" max="12528" width="11.42578125" style="124"/>
    <col min="12529" max="12529" width="15.140625" style="124" customWidth="1"/>
    <col min="12530" max="12530" width="12.28515625" style="124" bestFit="1" customWidth="1"/>
    <col min="12531" max="12531" width="14.42578125" style="124" bestFit="1" customWidth="1"/>
    <col min="12532" max="12780" width="11.42578125" style="124"/>
    <col min="12781" max="12781" width="10.5703125" style="124" bestFit="1" customWidth="1"/>
    <col min="12782" max="12782" width="15.140625" style="124" customWidth="1"/>
    <col min="12783" max="12783" width="18.28515625" style="124" customWidth="1"/>
    <col min="12784" max="12784" width="11.42578125" style="124"/>
    <col min="12785" max="12785" width="15.140625" style="124" customWidth="1"/>
    <col min="12786" max="12786" width="12.28515625" style="124" bestFit="1" customWidth="1"/>
    <col min="12787" max="12787" width="14.42578125" style="124" bestFit="1" customWidth="1"/>
    <col min="12788" max="13036" width="11.42578125" style="124"/>
    <col min="13037" max="13037" width="10.5703125" style="124" bestFit="1" customWidth="1"/>
    <col min="13038" max="13038" width="15.140625" style="124" customWidth="1"/>
    <col min="13039" max="13039" width="18.28515625" style="124" customWidth="1"/>
    <col min="13040" max="13040" width="11.42578125" style="124"/>
    <col min="13041" max="13041" width="15.140625" style="124" customWidth="1"/>
    <col min="13042" max="13042" width="12.28515625" style="124" bestFit="1" customWidth="1"/>
    <col min="13043" max="13043" width="14.42578125" style="124" bestFit="1" customWidth="1"/>
    <col min="13044" max="13292" width="11.42578125" style="124"/>
    <col min="13293" max="13293" width="10.5703125" style="124" bestFit="1" customWidth="1"/>
    <col min="13294" max="13294" width="15.140625" style="124" customWidth="1"/>
    <col min="13295" max="13295" width="18.28515625" style="124" customWidth="1"/>
    <col min="13296" max="13296" width="11.42578125" style="124"/>
    <col min="13297" max="13297" width="15.140625" style="124" customWidth="1"/>
    <col min="13298" max="13298" width="12.28515625" style="124" bestFit="1" customWidth="1"/>
    <col min="13299" max="13299" width="14.42578125" style="124" bestFit="1" customWidth="1"/>
    <col min="13300" max="13548" width="11.42578125" style="124"/>
    <col min="13549" max="13549" width="10.5703125" style="124" bestFit="1" customWidth="1"/>
    <col min="13550" max="13550" width="15.140625" style="124" customWidth="1"/>
    <col min="13551" max="13551" width="18.28515625" style="124" customWidth="1"/>
    <col min="13552" max="13552" width="11.42578125" style="124"/>
    <col min="13553" max="13553" width="15.140625" style="124" customWidth="1"/>
    <col min="13554" max="13554" width="12.28515625" style="124" bestFit="1" customWidth="1"/>
    <col min="13555" max="13555" width="14.42578125" style="124" bestFit="1" customWidth="1"/>
    <col min="13556" max="13804" width="11.42578125" style="124"/>
    <col min="13805" max="13805" width="10.5703125" style="124" bestFit="1" customWidth="1"/>
    <col min="13806" max="13806" width="15.140625" style="124" customWidth="1"/>
    <col min="13807" max="13807" width="18.28515625" style="124" customWidth="1"/>
    <col min="13808" max="13808" width="11.42578125" style="124"/>
    <col min="13809" max="13809" width="15.140625" style="124" customWidth="1"/>
    <col min="13810" max="13810" width="12.28515625" style="124" bestFit="1" customWidth="1"/>
    <col min="13811" max="13811" width="14.42578125" style="124" bestFit="1" customWidth="1"/>
    <col min="13812" max="14060" width="11.42578125" style="124"/>
    <col min="14061" max="14061" width="10.5703125" style="124" bestFit="1" customWidth="1"/>
    <col min="14062" max="14062" width="15.140625" style="124" customWidth="1"/>
    <col min="14063" max="14063" width="18.28515625" style="124" customWidth="1"/>
    <col min="14064" max="14064" width="11.42578125" style="124"/>
    <col min="14065" max="14065" width="15.140625" style="124" customWidth="1"/>
    <col min="14066" max="14066" width="12.28515625" style="124" bestFit="1" customWidth="1"/>
    <col min="14067" max="14067" width="14.42578125" style="124" bestFit="1" customWidth="1"/>
    <col min="14068" max="14316" width="11.42578125" style="124"/>
    <col min="14317" max="14317" width="10.5703125" style="124" bestFit="1" customWidth="1"/>
    <col min="14318" max="14318" width="15.140625" style="124" customWidth="1"/>
    <col min="14319" max="14319" width="18.28515625" style="124" customWidth="1"/>
    <col min="14320" max="14320" width="11.42578125" style="124"/>
    <col min="14321" max="14321" width="15.140625" style="124" customWidth="1"/>
    <col min="14322" max="14322" width="12.28515625" style="124" bestFit="1" customWidth="1"/>
    <col min="14323" max="14323" width="14.42578125" style="124" bestFit="1" customWidth="1"/>
    <col min="14324" max="14572" width="11.42578125" style="124"/>
    <col min="14573" max="14573" width="10.5703125" style="124" bestFit="1" customWidth="1"/>
    <col min="14574" max="14574" width="15.140625" style="124" customWidth="1"/>
    <col min="14575" max="14575" width="18.28515625" style="124" customWidth="1"/>
    <col min="14576" max="14576" width="11.42578125" style="124"/>
    <col min="14577" max="14577" width="15.140625" style="124" customWidth="1"/>
    <col min="14578" max="14578" width="12.28515625" style="124" bestFit="1" customWidth="1"/>
    <col min="14579" max="14579" width="14.42578125" style="124" bestFit="1" customWidth="1"/>
    <col min="14580" max="14828" width="11.42578125" style="124"/>
    <col min="14829" max="14829" width="10.5703125" style="124" bestFit="1" customWidth="1"/>
    <col min="14830" max="14830" width="15.140625" style="124" customWidth="1"/>
    <col min="14831" max="14831" width="18.28515625" style="124" customWidth="1"/>
    <col min="14832" max="14832" width="11.42578125" style="124"/>
    <col min="14833" max="14833" width="15.140625" style="124" customWidth="1"/>
    <col min="14834" max="14834" width="12.28515625" style="124" bestFit="1" customWidth="1"/>
    <col min="14835" max="14835" width="14.42578125" style="124" bestFit="1" customWidth="1"/>
    <col min="14836" max="15084" width="11.42578125" style="124"/>
    <col min="15085" max="15085" width="10.5703125" style="124" bestFit="1" customWidth="1"/>
    <col min="15086" max="15086" width="15.140625" style="124" customWidth="1"/>
    <col min="15087" max="15087" width="18.28515625" style="124" customWidth="1"/>
    <col min="15088" max="15088" width="11.42578125" style="124"/>
    <col min="15089" max="15089" width="15.140625" style="124" customWidth="1"/>
    <col min="15090" max="15090" width="12.28515625" style="124" bestFit="1" customWidth="1"/>
    <col min="15091" max="15091" width="14.42578125" style="124" bestFit="1" customWidth="1"/>
    <col min="15092" max="15340" width="11.42578125" style="124"/>
    <col min="15341" max="15341" width="10.5703125" style="124" bestFit="1" customWidth="1"/>
    <col min="15342" max="15342" width="15.140625" style="124" customWidth="1"/>
    <col min="15343" max="15343" width="18.28515625" style="124" customWidth="1"/>
    <col min="15344" max="15344" width="11.42578125" style="124"/>
    <col min="15345" max="15345" width="15.140625" style="124" customWidth="1"/>
    <col min="15346" max="15346" width="12.28515625" style="124" bestFit="1" customWidth="1"/>
    <col min="15347" max="15347" width="14.42578125" style="124" bestFit="1" customWidth="1"/>
    <col min="15348" max="15596" width="11.42578125" style="124"/>
    <col min="15597" max="15597" width="10.5703125" style="124" bestFit="1" customWidth="1"/>
    <col min="15598" max="15598" width="15.140625" style="124" customWidth="1"/>
    <col min="15599" max="15599" width="18.28515625" style="124" customWidth="1"/>
    <col min="15600" max="15600" width="11.42578125" style="124"/>
    <col min="15601" max="15601" width="15.140625" style="124" customWidth="1"/>
    <col min="15602" max="15602" width="12.28515625" style="124" bestFit="1" customWidth="1"/>
    <col min="15603" max="15603" width="14.42578125" style="124" bestFit="1" customWidth="1"/>
    <col min="15604" max="15852" width="11.42578125" style="124"/>
    <col min="15853" max="15853" width="10.5703125" style="124" bestFit="1" customWidth="1"/>
    <col min="15854" max="15854" width="15.140625" style="124" customWidth="1"/>
    <col min="15855" max="15855" width="18.28515625" style="124" customWidth="1"/>
    <col min="15856" max="15856" width="11.42578125" style="124"/>
    <col min="15857" max="15857" width="15.140625" style="124" customWidth="1"/>
    <col min="15858" max="15858" width="12.28515625" style="124" bestFit="1" customWidth="1"/>
    <col min="15859" max="15859" width="14.42578125" style="124" bestFit="1" customWidth="1"/>
    <col min="15860" max="16108" width="11.42578125" style="124"/>
    <col min="16109" max="16109" width="10.5703125" style="124" bestFit="1" customWidth="1"/>
    <col min="16110" max="16110" width="15.140625" style="124" customWidth="1"/>
    <col min="16111" max="16111" width="18.28515625" style="124" customWidth="1"/>
    <col min="16112" max="16112" width="11.42578125" style="124"/>
    <col min="16113" max="16113" width="15.140625" style="124" customWidth="1"/>
    <col min="16114" max="16114" width="12.28515625" style="124" bestFit="1" customWidth="1"/>
    <col min="16115" max="16115" width="14.42578125" style="124" bestFit="1" customWidth="1"/>
    <col min="16116" max="16384" width="11.42578125" style="124"/>
  </cols>
  <sheetData>
    <row r="1" spans="1:9" s="123" customFormat="1" ht="18.600000000000001" thickBot="1">
      <c r="A1" s="168" t="s">
        <v>299</v>
      </c>
      <c r="B1" s="168" t="s">
        <v>300</v>
      </c>
      <c r="C1" s="169" t="s">
        <v>301</v>
      </c>
      <c r="D1" s="169" t="s">
        <v>302</v>
      </c>
      <c r="E1" s="169" t="s">
        <v>238</v>
      </c>
      <c r="F1" s="169" t="s">
        <v>303</v>
      </c>
      <c r="G1" s="169" t="s">
        <v>239</v>
      </c>
      <c r="H1" s="169" t="s">
        <v>240</v>
      </c>
      <c r="I1" s="169" t="s">
        <v>241</v>
      </c>
    </row>
    <row r="2" spans="1:9" ht="28.9">
      <c r="A2" s="61">
        <v>0</v>
      </c>
      <c r="B2" s="170" t="s">
        <v>15</v>
      </c>
      <c r="C2" s="171"/>
      <c r="D2" s="171"/>
      <c r="E2" s="62" t="s">
        <v>304</v>
      </c>
      <c r="F2" s="165"/>
      <c r="G2" s="62"/>
      <c r="H2" s="62"/>
      <c r="I2" s="165"/>
    </row>
    <row r="3" spans="1:9" ht="28.9">
      <c r="A3" s="61">
        <v>1</v>
      </c>
      <c r="B3" s="170" t="s">
        <v>305</v>
      </c>
      <c r="C3" s="171">
        <v>5</v>
      </c>
      <c r="D3" s="171"/>
      <c r="E3" s="62" t="s">
        <v>306</v>
      </c>
      <c r="F3" s="165"/>
      <c r="G3" s="62" t="s">
        <v>307</v>
      </c>
      <c r="H3" s="62" t="s">
        <v>308</v>
      </c>
      <c r="I3" s="165" t="s">
        <v>309</v>
      </c>
    </row>
    <row r="4" spans="1:9" ht="28.9">
      <c r="A4" s="61">
        <v>2</v>
      </c>
      <c r="B4" s="170" t="s">
        <v>310</v>
      </c>
      <c r="C4" s="171">
        <v>6</v>
      </c>
      <c r="D4" s="171"/>
      <c r="E4" s="62" t="s">
        <v>306</v>
      </c>
      <c r="F4" s="165"/>
      <c r="G4" s="62" t="s">
        <v>307</v>
      </c>
      <c r="H4" s="62" t="s">
        <v>308</v>
      </c>
      <c r="I4" s="165" t="s">
        <v>311</v>
      </c>
    </row>
    <row r="5" spans="1:9" ht="28.9" hidden="1">
      <c r="A5" s="61">
        <v>4</v>
      </c>
      <c r="B5" s="170" t="s">
        <v>312</v>
      </c>
      <c r="C5" s="171"/>
      <c r="D5" s="171"/>
      <c r="E5" s="62" t="s">
        <v>306</v>
      </c>
      <c r="F5" s="165"/>
      <c r="G5" s="62" t="s">
        <v>313</v>
      </c>
      <c r="H5" s="62" t="s">
        <v>314</v>
      </c>
      <c r="I5" s="165" t="s">
        <v>315</v>
      </c>
    </row>
    <row r="6" spans="1:9" ht="28.9" hidden="1">
      <c r="A6" s="61">
        <v>5</v>
      </c>
      <c r="B6" s="170" t="s">
        <v>316</v>
      </c>
      <c r="C6" s="171"/>
      <c r="D6" s="171"/>
      <c r="E6" s="62" t="s">
        <v>306</v>
      </c>
      <c r="F6" s="165"/>
      <c r="G6" s="62" t="s">
        <v>317</v>
      </c>
      <c r="H6" s="62"/>
      <c r="I6" s="165" t="s">
        <v>318</v>
      </c>
    </row>
    <row r="7" spans="1:9" ht="28.9" hidden="1">
      <c r="A7" s="61">
        <v>6</v>
      </c>
      <c r="B7" s="170" t="s">
        <v>319</v>
      </c>
      <c r="C7" s="171"/>
      <c r="D7" s="171"/>
      <c r="E7" s="62" t="s">
        <v>306</v>
      </c>
      <c r="F7" s="165"/>
      <c r="G7" s="62" t="s">
        <v>320</v>
      </c>
      <c r="H7" s="62"/>
      <c r="I7" s="165" t="s">
        <v>321</v>
      </c>
    </row>
    <row r="8" spans="1:9" ht="28.9" hidden="1">
      <c r="A8" s="61">
        <v>7</v>
      </c>
      <c r="B8" s="170" t="s">
        <v>322</v>
      </c>
      <c r="C8" s="171"/>
      <c r="D8" s="171"/>
      <c r="E8" s="62" t="s">
        <v>306</v>
      </c>
      <c r="F8" s="165"/>
      <c r="G8" s="62" t="s">
        <v>323</v>
      </c>
      <c r="H8" s="62" t="s">
        <v>324</v>
      </c>
      <c r="I8" s="165" t="s">
        <v>325</v>
      </c>
    </row>
    <row r="9" spans="1:9" ht="28.9">
      <c r="A9" s="61">
        <v>8</v>
      </c>
      <c r="B9" s="170" t="s">
        <v>326</v>
      </c>
      <c r="C9" s="171"/>
      <c r="D9" s="171"/>
      <c r="E9" s="62" t="s">
        <v>306</v>
      </c>
      <c r="F9" s="165"/>
      <c r="G9" s="62" t="s">
        <v>327</v>
      </c>
      <c r="H9" s="62" t="s">
        <v>328</v>
      </c>
      <c r="I9" s="165" t="s">
        <v>329</v>
      </c>
    </row>
    <row r="10" spans="1:9" ht="28.9">
      <c r="A10" s="61">
        <v>9</v>
      </c>
      <c r="B10" s="170" t="s">
        <v>330</v>
      </c>
      <c r="C10" s="171"/>
      <c r="D10" s="171"/>
      <c r="E10" s="62" t="s">
        <v>306</v>
      </c>
      <c r="F10" s="165"/>
      <c r="G10" s="62" t="s">
        <v>331</v>
      </c>
      <c r="H10" s="62" t="s">
        <v>332</v>
      </c>
      <c r="I10" s="165" t="s">
        <v>333</v>
      </c>
    </row>
    <row r="11" spans="1:9" ht="28.9">
      <c r="A11" s="61">
        <v>12</v>
      </c>
      <c r="B11" s="170" t="s">
        <v>334</v>
      </c>
      <c r="C11" s="171">
        <v>4</v>
      </c>
      <c r="D11" s="171"/>
      <c r="E11" s="62" t="s">
        <v>306</v>
      </c>
      <c r="F11" s="165"/>
      <c r="G11" s="62" t="s">
        <v>307</v>
      </c>
      <c r="H11" s="62" t="s">
        <v>335</v>
      </c>
      <c r="I11" s="165" t="s">
        <v>336</v>
      </c>
    </row>
    <row r="12" spans="1:9" ht="28.9">
      <c r="A12" s="61">
        <v>14</v>
      </c>
      <c r="B12" s="170" t="s">
        <v>337</v>
      </c>
      <c r="C12" s="171"/>
      <c r="D12" s="171"/>
      <c r="E12" s="62" t="s">
        <v>306</v>
      </c>
      <c r="F12" s="165"/>
      <c r="G12" s="62" t="s">
        <v>313</v>
      </c>
      <c r="H12" s="62" t="s">
        <v>338</v>
      </c>
      <c r="I12" s="165" t="s">
        <v>339</v>
      </c>
    </row>
    <row r="13" spans="1:9" ht="28.9">
      <c r="A13" s="61">
        <v>15</v>
      </c>
      <c r="B13" s="170" t="s">
        <v>340</v>
      </c>
      <c r="C13" s="171"/>
      <c r="D13" s="171"/>
      <c r="E13" s="62" t="s">
        <v>306</v>
      </c>
      <c r="F13" s="165"/>
      <c r="G13" s="62" t="s">
        <v>313</v>
      </c>
      <c r="H13" s="62" t="s">
        <v>338</v>
      </c>
      <c r="I13" s="165" t="s">
        <v>341</v>
      </c>
    </row>
    <row r="14" spans="1:9" ht="28.9">
      <c r="A14" s="61">
        <v>16</v>
      </c>
      <c r="B14" s="170" t="s">
        <v>342</v>
      </c>
      <c r="C14" s="171"/>
      <c r="D14" s="171"/>
      <c r="E14" s="62" t="s">
        <v>306</v>
      </c>
      <c r="F14" s="165"/>
      <c r="G14" s="62" t="s">
        <v>313</v>
      </c>
      <c r="H14" s="62" t="s">
        <v>338</v>
      </c>
      <c r="I14" s="165" t="s">
        <v>343</v>
      </c>
    </row>
    <row r="15" spans="1:9" ht="28.9">
      <c r="A15" s="61">
        <v>17</v>
      </c>
      <c r="B15" s="172" t="s">
        <v>344</v>
      </c>
      <c r="C15" s="173"/>
      <c r="D15" s="173"/>
      <c r="E15" s="166" t="s">
        <v>306</v>
      </c>
      <c r="F15" s="167"/>
      <c r="G15" s="166" t="s">
        <v>345</v>
      </c>
      <c r="H15" s="166" t="s">
        <v>346</v>
      </c>
      <c r="I15" s="167" t="s">
        <v>347</v>
      </c>
    </row>
    <row r="16" spans="1:9" ht="28.9">
      <c r="A16" s="61"/>
      <c r="B16" s="172" t="s">
        <v>348</v>
      </c>
      <c r="C16" s="173"/>
      <c r="D16" s="173"/>
      <c r="E16" s="166" t="s">
        <v>306</v>
      </c>
      <c r="F16" s="167"/>
      <c r="G16" s="166" t="s">
        <v>349</v>
      </c>
      <c r="H16" s="166" t="s">
        <v>350</v>
      </c>
      <c r="I16" s="167" t="s">
        <v>351</v>
      </c>
    </row>
    <row r="17" spans="1:10" ht="28.9">
      <c r="A17" s="61"/>
      <c r="B17" s="172" t="s">
        <v>352</v>
      </c>
      <c r="C17" s="173"/>
      <c r="D17" s="173"/>
      <c r="E17" s="166" t="s">
        <v>306</v>
      </c>
      <c r="F17" s="167"/>
      <c r="G17" s="166" t="s">
        <v>307</v>
      </c>
      <c r="H17" s="166" t="s">
        <v>353</v>
      </c>
      <c r="I17" s="167" t="s">
        <v>354</v>
      </c>
    </row>
    <row r="18" spans="1:10" ht="28.9">
      <c r="A18" s="61"/>
      <c r="B18" s="172" t="s">
        <v>355</v>
      </c>
      <c r="C18" s="173"/>
      <c r="D18" s="173"/>
      <c r="E18" s="166" t="s">
        <v>306</v>
      </c>
      <c r="F18" s="167"/>
      <c r="G18" s="166" t="s">
        <v>307</v>
      </c>
      <c r="H18" s="166" t="s">
        <v>335</v>
      </c>
      <c r="I18" s="167" t="s">
        <v>356</v>
      </c>
    </row>
    <row r="19" spans="1:10" ht="28.9">
      <c r="A19" s="61">
        <v>18</v>
      </c>
      <c r="B19" s="170" t="s">
        <v>14</v>
      </c>
      <c r="C19" s="171">
        <v>30</v>
      </c>
      <c r="D19" s="171"/>
      <c r="E19" s="62" t="s">
        <v>357</v>
      </c>
      <c r="F19" s="165"/>
      <c r="G19" s="62" t="s">
        <v>358</v>
      </c>
      <c r="H19" s="62" t="s">
        <v>359</v>
      </c>
      <c r="I19" s="165" t="s">
        <v>360</v>
      </c>
    </row>
    <row r="20" spans="1:10" ht="28.9">
      <c r="A20" s="61">
        <v>19</v>
      </c>
      <c r="B20" s="170" t="s">
        <v>29</v>
      </c>
      <c r="C20" s="171">
        <v>31</v>
      </c>
      <c r="D20" s="171"/>
      <c r="E20" s="62" t="s">
        <v>357</v>
      </c>
      <c r="F20" s="165"/>
      <c r="G20" s="62" t="s">
        <v>361</v>
      </c>
      <c r="H20" s="62" t="s">
        <v>362</v>
      </c>
      <c r="I20" s="165" t="s">
        <v>363</v>
      </c>
    </row>
    <row r="21" spans="1:10" ht="28.9">
      <c r="A21" s="61">
        <v>20</v>
      </c>
      <c r="B21" s="170" t="s">
        <v>364</v>
      </c>
      <c r="C21" s="171">
        <v>32</v>
      </c>
      <c r="D21" s="172" t="s">
        <v>365</v>
      </c>
      <c r="E21" s="62" t="s">
        <v>357</v>
      </c>
      <c r="F21" s="165"/>
      <c r="G21" s="62" t="s">
        <v>313</v>
      </c>
      <c r="H21" s="62">
        <v>17220</v>
      </c>
      <c r="I21" s="165" t="s">
        <v>366</v>
      </c>
    </row>
    <row r="22" spans="1:10" ht="28.9">
      <c r="A22" s="61">
        <v>21</v>
      </c>
      <c r="B22" s="170" t="s">
        <v>367</v>
      </c>
      <c r="C22" s="171">
        <v>33</v>
      </c>
      <c r="D22" s="171"/>
      <c r="E22" s="62" t="s">
        <v>357</v>
      </c>
      <c r="F22" s="165"/>
      <c r="G22" s="62" t="s">
        <v>313</v>
      </c>
      <c r="H22" s="62">
        <v>15170</v>
      </c>
      <c r="I22" s="165" t="s">
        <v>368</v>
      </c>
    </row>
    <row r="23" spans="1:10" ht="28.9">
      <c r="A23" s="61">
        <v>22</v>
      </c>
      <c r="B23" s="170" t="s">
        <v>369</v>
      </c>
      <c r="C23" s="171">
        <v>34</v>
      </c>
      <c r="D23" s="172" t="s">
        <v>370</v>
      </c>
      <c r="E23" s="62" t="s">
        <v>357</v>
      </c>
      <c r="F23" s="165"/>
      <c r="G23" s="62" t="s">
        <v>313</v>
      </c>
      <c r="H23" s="62">
        <v>13180</v>
      </c>
      <c r="I23" s="165" t="s">
        <v>371</v>
      </c>
    </row>
    <row r="24" spans="1:10" ht="28.9">
      <c r="A24" s="61">
        <v>23</v>
      </c>
      <c r="B24" s="170" t="s">
        <v>30</v>
      </c>
      <c r="C24" s="171">
        <v>35</v>
      </c>
      <c r="D24" s="172" t="s">
        <v>372</v>
      </c>
      <c r="E24" s="62" t="s">
        <v>357</v>
      </c>
      <c r="F24" s="165"/>
      <c r="G24" s="62" t="s">
        <v>313</v>
      </c>
      <c r="H24" s="62">
        <v>9150</v>
      </c>
      <c r="I24" s="165" t="s">
        <v>373</v>
      </c>
    </row>
    <row r="25" spans="1:10" ht="28.9">
      <c r="A25" s="61">
        <v>24</v>
      </c>
      <c r="B25" s="170" t="s">
        <v>31</v>
      </c>
      <c r="C25" s="171">
        <v>36</v>
      </c>
      <c r="D25" s="172" t="s">
        <v>374</v>
      </c>
      <c r="E25" s="62" t="s">
        <v>357</v>
      </c>
      <c r="F25" s="165"/>
      <c r="G25" s="62" t="s">
        <v>375</v>
      </c>
      <c r="H25" s="62" t="s">
        <v>376</v>
      </c>
      <c r="I25" s="165" t="s">
        <v>377</v>
      </c>
    </row>
    <row r="26" spans="1:10" ht="28.9">
      <c r="A26" s="61">
        <v>25</v>
      </c>
      <c r="B26" s="170" t="s">
        <v>378</v>
      </c>
      <c r="C26" s="171">
        <v>43</v>
      </c>
      <c r="D26" s="171"/>
      <c r="E26" s="62" t="s">
        <v>379</v>
      </c>
      <c r="F26" s="165"/>
      <c r="G26" s="62" t="s">
        <v>375</v>
      </c>
      <c r="H26" s="62" t="s">
        <v>380</v>
      </c>
      <c r="I26" s="165" t="s">
        <v>381</v>
      </c>
    </row>
    <row r="27" spans="1:10" ht="28.9">
      <c r="A27" s="61">
        <v>26</v>
      </c>
      <c r="B27" s="170" t="s">
        <v>34</v>
      </c>
      <c r="C27" s="171">
        <v>39</v>
      </c>
      <c r="D27" s="171"/>
      <c r="E27" s="62" t="s">
        <v>379</v>
      </c>
      <c r="F27" s="165"/>
      <c r="G27" s="62" t="s">
        <v>382</v>
      </c>
      <c r="H27" s="62" t="s">
        <v>383</v>
      </c>
      <c r="I27" s="165" t="s">
        <v>384</v>
      </c>
    </row>
    <row r="28" spans="1:10" ht="28.9">
      <c r="A28" s="61">
        <v>27</v>
      </c>
      <c r="B28" s="170" t="s">
        <v>32</v>
      </c>
      <c r="C28" s="171"/>
      <c r="D28" s="172" t="s">
        <v>385</v>
      </c>
      <c r="E28" s="62" t="s">
        <v>357</v>
      </c>
      <c r="F28" s="165"/>
      <c r="G28" s="62" t="s">
        <v>375</v>
      </c>
      <c r="H28" s="62" t="s">
        <v>386</v>
      </c>
      <c r="I28" s="165" t="s">
        <v>387</v>
      </c>
    </row>
    <row r="29" spans="1:10" ht="28.9">
      <c r="A29" s="61">
        <v>28</v>
      </c>
      <c r="B29" s="170" t="s">
        <v>36</v>
      </c>
      <c r="C29" s="171"/>
      <c r="D29" s="172"/>
      <c r="E29" s="62" t="s">
        <v>379</v>
      </c>
      <c r="F29" s="165"/>
      <c r="G29" s="62" t="s">
        <v>375</v>
      </c>
      <c r="H29" s="62" t="s">
        <v>388</v>
      </c>
      <c r="I29" s="165" t="s">
        <v>389</v>
      </c>
    </row>
    <row r="30" spans="1:10" ht="28.9">
      <c r="A30" s="61">
        <v>29</v>
      </c>
      <c r="B30" s="170">
        <v>111</v>
      </c>
      <c r="C30" s="171"/>
      <c r="D30" s="172"/>
      <c r="E30" s="62" t="s">
        <v>357</v>
      </c>
      <c r="F30" s="165"/>
      <c r="G30" s="62" t="s">
        <v>375</v>
      </c>
      <c r="H30" s="62" t="s">
        <v>390</v>
      </c>
      <c r="I30" s="165" t="s">
        <v>391</v>
      </c>
      <c r="J30" s="165"/>
    </row>
    <row r="31" spans="1:10" ht="28.9">
      <c r="A31" s="61">
        <v>30</v>
      </c>
      <c r="B31" s="170" t="s">
        <v>33</v>
      </c>
      <c r="C31" s="171"/>
      <c r="D31" s="172"/>
      <c r="E31" s="62" t="s">
        <v>357</v>
      </c>
      <c r="F31" s="165"/>
      <c r="G31" s="62" t="s">
        <v>375</v>
      </c>
      <c r="H31" s="62" t="s">
        <v>392</v>
      </c>
      <c r="I31" s="165" t="s">
        <v>393</v>
      </c>
      <c r="J31" s="165"/>
    </row>
    <row r="32" spans="1:10" ht="28.9">
      <c r="A32" s="61">
        <v>31</v>
      </c>
      <c r="B32" s="170" t="s">
        <v>35</v>
      </c>
      <c r="C32" s="171">
        <v>40</v>
      </c>
      <c r="D32" s="171"/>
      <c r="E32" s="62" t="s">
        <v>394</v>
      </c>
      <c r="F32" s="165"/>
      <c r="G32" s="62" t="s">
        <v>395</v>
      </c>
      <c r="H32" s="62" t="s">
        <v>396</v>
      </c>
      <c r="I32" s="165" t="s">
        <v>397</v>
      </c>
      <c r="J32" s="165"/>
    </row>
    <row r="33" spans="1:9" ht="28.9">
      <c r="A33" s="61">
        <v>32</v>
      </c>
      <c r="B33" s="170" t="s">
        <v>398</v>
      </c>
      <c r="C33" s="171">
        <v>45</v>
      </c>
      <c r="D33" s="171"/>
      <c r="E33" s="62" t="s">
        <v>394</v>
      </c>
      <c r="F33" s="165"/>
      <c r="G33" s="62" t="s">
        <v>399</v>
      </c>
      <c r="H33" s="62" t="s">
        <v>396</v>
      </c>
      <c r="I33" s="165" t="s">
        <v>400</v>
      </c>
    </row>
    <row r="34" spans="1:9" ht="28.9">
      <c r="A34" s="61">
        <v>33</v>
      </c>
      <c r="B34" s="172" t="s">
        <v>401</v>
      </c>
      <c r="C34" s="173"/>
      <c r="D34" s="173"/>
      <c r="E34" s="166" t="s">
        <v>402</v>
      </c>
      <c r="F34" s="167"/>
      <c r="G34" s="166"/>
      <c r="H34" s="166"/>
      <c r="I34" s="167"/>
    </row>
    <row r="35" spans="1:9" ht="28.9">
      <c r="A35" s="61">
        <v>34</v>
      </c>
      <c r="B35" s="170" t="s">
        <v>37</v>
      </c>
      <c r="C35" s="171">
        <v>41</v>
      </c>
      <c r="D35" s="171"/>
      <c r="E35" s="62" t="s">
        <v>403</v>
      </c>
      <c r="F35" s="165"/>
      <c r="G35" s="62" t="s">
        <v>404</v>
      </c>
      <c r="H35" s="62" t="s">
        <v>405</v>
      </c>
      <c r="I35" s="165" t="s">
        <v>406</v>
      </c>
    </row>
    <row r="36" spans="1:9" ht="28.9">
      <c r="A36" s="61">
        <v>35</v>
      </c>
      <c r="B36" s="170" t="s">
        <v>407</v>
      </c>
      <c r="C36" s="171">
        <v>42</v>
      </c>
      <c r="D36" s="171"/>
      <c r="E36" s="62" t="s">
        <v>403</v>
      </c>
      <c r="F36" s="165"/>
      <c r="G36" s="62" t="s">
        <v>408</v>
      </c>
      <c r="H36" s="62" t="s">
        <v>405</v>
      </c>
      <c r="I36" s="165" t="s">
        <v>409</v>
      </c>
    </row>
    <row r="37" spans="1:9" ht="28.9">
      <c r="A37" s="61">
        <v>36</v>
      </c>
      <c r="B37" s="172" t="s">
        <v>410</v>
      </c>
      <c r="C37" s="173"/>
      <c r="D37" s="173"/>
      <c r="E37" s="166" t="s">
        <v>411</v>
      </c>
      <c r="F37" s="167"/>
      <c r="G37" s="166"/>
      <c r="H37" s="166"/>
      <c r="I37" s="167" t="s">
        <v>339</v>
      </c>
    </row>
    <row r="38" spans="1:9" ht="28.9">
      <c r="A38" s="61">
        <v>38</v>
      </c>
      <c r="B38" s="170" t="s">
        <v>39</v>
      </c>
      <c r="C38" s="171">
        <v>72</v>
      </c>
      <c r="D38" s="171"/>
      <c r="E38" s="62" t="s">
        <v>412</v>
      </c>
      <c r="F38" s="123">
        <v>7.5</v>
      </c>
      <c r="G38" s="62" t="s">
        <v>413</v>
      </c>
      <c r="H38" s="62">
        <v>7500</v>
      </c>
      <c r="I38" s="165" t="s">
        <v>414</v>
      </c>
    </row>
    <row r="39" spans="1:9" ht="28.9">
      <c r="A39" s="61">
        <v>39</v>
      </c>
      <c r="B39" s="170" t="s">
        <v>45</v>
      </c>
      <c r="C39" s="171">
        <v>73</v>
      </c>
      <c r="D39" s="171"/>
      <c r="E39" s="62" t="s">
        <v>412</v>
      </c>
      <c r="F39" s="123">
        <v>5.5</v>
      </c>
      <c r="G39" s="62" t="s">
        <v>415</v>
      </c>
      <c r="H39" s="62">
        <v>5500</v>
      </c>
      <c r="I39" s="165" t="s">
        <v>416</v>
      </c>
    </row>
    <row r="40" spans="1:9" ht="28.9">
      <c r="A40" s="61">
        <v>40</v>
      </c>
      <c r="B40" s="170" t="s">
        <v>46</v>
      </c>
      <c r="C40" s="171"/>
      <c r="D40" s="171"/>
      <c r="E40" s="62" t="s">
        <v>412</v>
      </c>
      <c r="F40" s="123">
        <v>3</v>
      </c>
      <c r="G40" s="62" t="s">
        <v>361</v>
      </c>
      <c r="H40" s="62" t="s">
        <v>417</v>
      </c>
      <c r="I40" s="165" t="s">
        <v>416</v>
      </c>
    </row>
    <row r="41" spans="1:9" ht="28.9">
      <c r="A41" s="61">
        <v>41</v>
      </c>
      <c r="B41" s="172" t="s">
        <v>47</v>
      </c>
      <c r="C41" s="173"/>
      <c r="D41" s="185"/>
      <c r="E41" s="166" t="s">
        <v>412</v>
      </c>
      <c r="F41" s="174">
        <v>7</v>
      </c>
      <c r="G41" s="166" t="s">
        <v>418</v>
      </c>
      <c r="H41" s="166" t="s">
        <v>419</v>
      </c>
      <c r="I41" s="167"/>
    </row>
    <row r="42" spans="1:9" ht="28.9">
      <c r="A42" s="61">
        <v>42</v>
      </c>
      <c r="B42" s="172" t="s">
        <v>48</v>
      </c>
      <c r="C42" s="173"/>
      <c r="D42" s="185"/>
      <c r="E42" s="166" t="s">
        <v>412</v>
      </c>
      <c r="F42" s="174">
        <v>2.5</v>
      </c>
      <c r="G42" s="166" t="s">
        <v>418</v>
      </c>
      <c r="H42" s="166" t="s">
        <v>420</v>
      </c>
      <c r="I42" s="167"/>
    </row>
    <row r="43" spans="1:9" ht="28.9">
      <c r="A43" s="61">
        <v>43</v>
      </c>
      <c r="B43" s="172" t="s">
        <v>49</v>
      </c>
      <c r="C43" s="173"/>
      <c r="D43" s="185"/>
      <c r="E43" s="166" t="s">
        <v>412</v>
      </c>
      <c r="F43" s="174">
        <v>3</v>
      </c>
      <c r="G43" s="166" t="s">
        <v>418</v>
      </c>
      <c r="H43" s="166" t="s">
        <v>421</v>
      </c>
      <c r="I43" s="167"/>
    </row>
    <row r="44" spans="1:9" ht="28.9">
      <c r="A44" s="61">
        <v>44</v>
      </c>
      <c r="B44" s="172" t="s">
        <v>50</v>
      </c>
      <c r="C44" s="173"/>
      <c r="D44" s="185"/>
      <c r="E44" s="166" t="s">
        <v>412</v>
      </c>
      <c r="F44" s="174">
        <v>10</v>
      </c>
      <c r="G44" s="166" t="s">
        <v>418</v>
      </c>
      <c r="H44" s="166" t="s">
        <v>422</v>
      </c>
      <c r="I44" s="167"/>
    </row>
    <row r="45" spans="1:9" ht="28.9">
      <c r="A45" s="61">
        <v>45</v>
      </c>
      <c r="B45" s="170" t="s">
        <v>423</v>
      </c>
      <c r="C45" s="171"/>
      <c r="D45" s="171"/>
      <c r="E45" s="62" t="s">
        <v>424</v>
      </c>
      <c r="F45" s="165"/>
      <c r="G45" s="62" t="s">
        <v>425</v>
      </c>
      <c r="H45" s="62"/>
      <c r="I45" s="165"/>
    </row>
    <row r="46" spans="1:9" ht="28.9">
      <c r="A46" s="61">
        <v>46</v>
      </c>
      <c r="B46" s="170" t="s">
        <v>426</v>
      </c>
      <c r="C46" s="171"/>
      <c r="D46" s="171"/>
      <c r="E46" s="62" t="s">
        <v>424</v>
      </c>
      <c r="F46" s="165"/>
      <c r="G46" s="62" t="s">
        <v>427</v>
      </c>
      <c r="H46" s="62"/>
      <c r="I46" s="165"/>
    </row>
    <row r="47" spans="1:9" ht="28.9">
      <c r="A47" s="61">
        <v>47</v>
      </c>
      <c r="B47" s="170" t="s">
        <v>428</v>
      </c>
      <c r="C47" s="171"/>
      <c r="D47" s="171"/>
      <c r="E47" s="62" t="s">
        <v>424</v>
      </c>
      <c r="F47" s="165"/>
      <c r="G47" s="62" t="s">
        <v>429</v>
      </c>
      <c r="H47" s="62"/>
      <c r="I47" s="165"/>
    </row>
    <row r="48" spans="1:9" ht="28.9">
      <c r="A48" s="61">
        <v>48</v>
      </c>
      <c r="B48" s="170" t="s">
        <v>430</v>
      </c>
      <c r="C48" s="171"/>
      <c r="D48" s="171"/>
      <c r="E48" s="62" t="s">
        <v>431</v>
      </c>
      <c r="F48" s="165"/>
      <c r="G48" s="62" t="s">
        <v>432</v>
      </c>
      <c r="H48" s="62" t="s">
        <v>433</v>
      </c>
      <c r="I48" s="165"/>
    </row>
    <row r="49" spans="1:9" ht="28.9">
      <c r="A49" s="61">
        <v>49</v>
      </c>
      <c r="B49" s="170" t="s">
        <v>51</v>
      </c>
      <c r="C49" s="171"/>
      <c r="D49" s="171"/>
      <c r="E49" s="62" t="s">
        <v>434</v>
      </c>
      <c r="F49" s="165"/>
      <c r="G49" s="62" t="s">
        <v>432</v>
      </c>
      <c r="H49" s="62" t="s">
        <v>435</v>
      </c>
      <c r="I49" s="165"/>
    </row>
    <row r="50" spans="1:9" ht="28.9">
      <c r="A50" s="61">
        <v>50</v>
      </c>
      <c r="B50" s="170" t="s">
        <v>436</v>
      </c>
      <c r="C50" s="171"/>
      <c r="D50" s="171"/>
      <c r="E50" s="62" t="s">
        <v>437</v>
      </c>
      <c r="F50" s="165"/>
      <c r="G50" s="62" t="s">
        <v>438</v>
      </c>
      <c r="H50" s="62" t="s">
        <v>439</v>
      </c>
      <c r="I50" s="165"/>
    </row>
    <row r="51" spans="1:9" ht="28.9">
      <c r="A51" s="61">
        <v>51</v>
      </c>
      <c r="B51" s="170" t="s">
        <v>440</v>
      </c>
      <c r="C51" s="171"/>
      <c r="D51" s="171"/>
      <c r="E51" s="62" t="s">
        <v>437</v>
      </c>
      <c r="F51" s="165"/>
      <c r="G51" s="62" t="s">
        <v>438</v>
      </c>
      <c r="H51" s="62" t="s">
        <v>439</v>
      </c>
      <c r="I51" s="165"/>
    </row>
    <row r="52" spans="1:9" ht="28.9">
      <c r="A52" s="61">
        <v>52</v>
      </c>
      <c r="B52" s="170" t="s">
        <v>441</v>
      </c>
      <c r="C52" s="171"/>
      <c r="D52" s="171"/>
      <c r="E52" s="62" t="s">
        <v>437</v>
      </c>
      <c r="F52" s="165"/>
      <c r="G52" s="62" t="s">
        <v>438</v>
      </c>
      <c r="H52" s="62" t="s">
        <v>439</v>
      </c>
      <c r="I52" s="165"/>
    </row>
    <row r="53" spans="1:9" ht="28.9">
      <c r="A53" s="61">
        <v>53</v>
      </c>
      <c r="B53" s="170" t="s">
        <v>54</v>
      </c>
      <c r="C53" s="171">
        <v>88</v>
      </c>
      <c r="D53" s="171"/>
      <c r="E53" s="62" t="s">
        <v>442</v>
      </c>
      <c r="F53" s="123">
        <v>30</v>
      </c>
      <c r="G53" s="62" t="s">
        <v>443</v>
      </c>
      <c r="H53" s="62" t="s">
        <v>444</v>
      </c>
      <c r="I53" s="165" t="s">
        <v>416</v>
      </c>
    </row>
    <row r="54" spans="1:9" ht="28.9">
      <c r="A54" s="61">
        <v>55</v>
      </c>
      <c r="B54" s="170" t="s">
        <v>58</v>
      </c>
      <c r="C54" s="171">
        <v>83</v>
      </c>
      <c r="D54" s="171"/>
      <c r="E54" s="62" t="s">
        <v>442</v>
      </c>
      <c r="F54" s="123">
        <v>70</v>
      </c>
      <c r="G54" s="62" t="s">
        <v>443</v>
      </c>
      <c r="H54" s="62" t="s">
        <v>445</v>
      </c>
      <c r="I54" s="165" t="s">
        <v>446</v>
      </c>
    </row>
    <row r="55" spans="1:9" ht="28.9">
      <c r="A55" s="61">
        <v>56</v>
      </c>
      <c r="B55" s="170" t="s">
        <v>59</v>
      </c>
      <c r="C55" s="171">
        <v>84</v>
      </c>
      <c r="D55" s="171"/>
      <c r="E55" s="62" t="s">
        <v>442</v>
      </c>
      <c r="F55" s="123">
        <v>90</v>
      </c>
      <c r="G55" s="62" t="s">
        <v>443</v>
      </c>
      <c r="H55" s="62" t="s">
        <v>447</v>
      </c>
      <c r="I55" s="165" t="s">
        <v>448</v>
      </c>
    </row>
    <row r="56" spans="1:9" ht="28.9">
      <c r="A56" s="61">
        <v>57</v>
      </c>
      <c r="B56" s="170" t="s">
        <v>60</v>
      </c>
      <c r="C56" s="171"/>
      <c r="D56" s="171"/>
      <c r="E56" s="62" t="s">
        <v>442</v>
      </c>
      <c r="F56" s="123">
        <v>100</v>
      </c>
      <c r="G56" s="62" t="s">
        <v>443</v>
      </c>
      <c r="H56" s="62" t="s">
        <v>449</v>
      </c>
      <c r="I56" s="62"/>
    </row>
    <row r="57" spans="1:9" ht="28.9">
      <c r="A57" s="61">
        <v>58</v>
      </c>
      <c r="B57" s="170" t="s">
        <v>61</v>
      </c>
      <c r="C57" s="171"/>
      <c r="D57" s="171"/>
      <c r="E57" s="62" t="s">
        <v>442</v>
      </c>
      <c r="F57" s="123">
        <v>250</v>
      </c>
      <c r="G57" s="62" t="s">
        <v>443</v>
      </c>
      <c r="H57" s="62" t="s">
        <v>450</v>
      </c>
      <c r="I57" s="62"/>
    </row>
    <row r="58" spans="1:9" ht="28.9">
      <c r="A58" s="61">
        <v>62</v>
      </c>
      <c r="B58" s="170" t="s">
        <v>63</v>
      </c>
      <c r="C58" s="171">
        <v>87</v>
      </c>
      <c r="D58" s="171"/>
      <c r="E58" s="62" t="s">
        <v>442</v>
      </c>
      <c r="F58" s="123">
        <v>30</v>
      </c>
      <c r="G58" s="62" t="s">
        <v>451</v>
      </c>
      <c r="H58" s="62" t="s">
        <v>452</v>
      </c>
      <c r="I58" s="165" t="s">
        <v>453</v>
      </c>
    </row>
    <row r="59" spans="1:9" ht="28.9">
      <c r="A59" s="61">
        <v>63</v>
      </c>
      <c r="B59" s="170" t="s">
        <v>454</v>
      </c>
      <c r="C59" s="171">
        <v>80</v>
      </c>
      <c r="D59" s="171"/>
      <c r="E59" s="62" t="s">
        <v>442</v>
      </c>
      <c r="F59" s="123">
        <v>40</v>
      </c>
      <c r="G59" s="62" t="s">
        <v>455</v>
      </c>
      <c r="H59" s="62" t="s">
        <v>456</v>
      </c>
      <c r="I59" s="165" t="s">
        <v>416</v>
      </c>
    </row>
    <row r="60" spans="1:9" ht="28.9">
      <c r="A60" s="61">
        <v>65</v>
      </c>
      <c r="B60" s="170" t="s">
        <v>457</v>
      </c>
      <c r="C60" s="171">
        <v>74</v>
      </c>
      <c r="D60" s="171"/>
      <c r="E60" s="62" t="s">
        <v>442</v>
      </c>
      <c r="F60" s="123">
        <v>7.5</v>
      </c>
      <c r="G60" s="62" t="s">
        <v>458</v>
      </c>
      <c r="H60" s="62">
        <v>7500</v>
      </c>
      <c r="I60" s="165" t="s">
        <v>459</v>
      </c>
    </row>
    <row r="61" spans="1:9" ht="28.9">
      <c r="A61" s="61">
        <v>66</v>
      </c>
      <c r="B61" s="170" t="s">
        <v>460</v>
      </c>
      <c r="C61" s="171"/>
      <c r="D61" s="171"/>
      <c r="E61" s="62" t="s">
        <v>442</v>
      </c>
      <c r="F61" s="123">
        <v>6.5</v>
      </c>
      <c r="G61" s="62" t="s">
        <v>461</v>
      </c>
      <c r="H61" s="62"/>
      <c r="I61" s="165" t="s">
        <v>462</v>
      </c>
    </row>
    <row r="62" spans="1:9" ht="28.9">
      <c r="A62" s="61">
        <v>67</v>
      </c>
      <c r="B62" s="172" t="s">
        <v>69</v>
      </c>
      <c r="C62" s="173"/>
      <c r="D62" s="173"/>
      <c r="E62" s="166" t="s">
        <v>442</v>
      </c>
      <c r="F62" s="174">
        <v>35</v>
      </c>
      <c r="G62" s="166" t="s">
        <v>463</v>
      </c>
      <c r="H62" s="166" t="s">
        <v>464</v>
      </c>
      <c r="I62" s="167" t="s">
        <v>465</v>
      </c>
    </row>
    <row r="63" spans="1:9" ht="28.9">
      <c r="A63" s="61">
        <v>68</v>
      </c>
      <c r="B63" s="172" t="s">
        <v>70</v>
      </c>
      <c r="C63" s="173"/>
      <c r="D63" s="173"/>
      <c r="E63" s="166" t="s">
        <v>442</v>
      </c>
      <c r="F63" s="174">
        <v>130</v>
      </c>
      <c r="G63" s="166" t="s">
        <v>463</v>
      </c>
      <c r="H63" s="166" t="s">
        <v>466</v>
      </c>
      <c r="I63" s="167" t="s">
        <v>416</v>
      </c>
    </row>
    <row r="64" spans="1:9" ht="28.9">
      <c r="A64" s="61">
        <v>69</v>
      </c>
      <c r="B64" s="172" t="s">
        <v>71</v>
      </c>
      <c r="C64" s="173"/>
      <c r="D64" s="173"/>
      <c r="E64" s="166" t="s">
        <v>442</v>
      </c>
      <c r="F64" s="174">
        <v>60</v>
      </c>
      <c r="G64" s="166" t="s">
        <v>443</v>
      </c>
      <c r="H64" s="166" t="s">
        <v>467</v>
      </c>
      <c r="I64" s="167" t="s">
        <v>416</v>
      </c>
    </row>
    <row r="65" spans="1:9" ht="28.9">
      <c r="A65" s="61">
        <v>70</v>
      </c>
      <c r="B65" s="172" t="s">
        <v>468</v>
      </c>
      <c r="C65" s="173"/>
      <c r="D65" s="173"/>
      <c r="E65" s="166" t="s">
        <v>442</v>
      </c>
      <c r="F65" s="174">
        <v>70</v>
      </c>
      <c r="G65" s="166" t="s">
        <v>451</v>
      </c>
      <c r="H65" s="166" t="s">
        <v>469</v>
      </c>
      <c r="I65" s="167" t="s">
        <v>416</v>
      </c>
    </row>
    <row r="66" spans="1:9" ht="28.9">
      <c r="A66" s="61"/>
      <c r="B66" s="172" t="s">
        <v>75</v>
      </c>
      <c r="C66" s="173"/>
      <c r="D66" s="173"/>
      <c r="E66" s="166" t="s">
        <v>442</v>
      </c>
      <c r="F66" s="174">
        <v>70</v>
      </c>
      <c r="G66" s="166" t="s">
        <v>443</v>
      </c>
      <c r="H66" s="166" t="s">
        <v>470</v>
      </c>
      <c r="I66" s="167" t="s">
        <v>471</v>
      </c>
    </row>
    <row r="67" spans="1:9" ht="28.9">
      <c r="A67" s="61">
        <v>71</v>
      </c>
      <c r="B67" s="172" t="s">
        <v>76</v>
      </c>
      <c r="C67" s="173"/>
      <c r="D67" s="173"/>
      <c r="E67" s="166" t="s">
        <v>442</v>
      </c>
      <c r="F67" s="174">
        <v>150</v>
      </c>
      <c r="G67" s="166" t="s">
        <v>443</v>
      </c>
      <c r="H67" s="166" t="s">
        <v>472</v>
      </c>
      <c r="I67" s="167" t="s">
        <v>416</v>
      </c>
    </row>
    <row r="68" spans="1:9" ht="28.9">
      <c r="A68" s="61">
        <v>58</v>
      </c>
      <c r="B68" s="170" t="s">
        <v>79</v>
      </c>
      <c r="C68" s="171"/>
      <c r="D68" s="171"/>
      <c r="E68" s="62" t="s">
        <v>442</v>
      </c>
      <c r="F68" s="123">
        <v>230</v>
      </c>
      <c r="G68" s="62" t="s">
        <v>443</v>
      </c>
      <c r="H68" s="62" t="s">
        <v>473</v>
      </c>
      <c r="I68" s="62"/>
    </row>
    <row r="69" spans="1:9">
      <c r="A69" s="61">
        <v>72</v>
      </c>
      <c r="B69" s="172" t="s">
        <v>370</v>
      </c>
      <c r="C69" s="172"/>
      <c r="D69" s="172" t="s">
        <v>369</v>
      </c>
      <c r="E69" s="166" t="s">
        <v>474</v>
      </c>
      <c r="F69" s="167"/>
      <c r="G69" s="166" t="s">
        <v>475</v>
      </c>
      <c r="H69" s="166" t="s">
        <v>476</v>
      </c>
      <c r="I69" s="166" t="s">
        <v>477</v>
      </c>
    </row>
    <row r="70" spans="1:9">
      <c r="A70" s="61">
        <v>73</v>
      </c>
      <c r="B70" s="172" t="s">
        <v>372</v>
      </c>
      <c r="C70" s="172"/>
      <c r="D70" s="172" t="s">
        <v>30</v>
      </c>
      <c r="E70" s="166" t="s">
        <v>474</v>
      </c>
      <c r="F70" s="167"/>
      <c r="G70" s="166" t="s">
        <v>478</v>
      </c>
      <c r="H70" s="166" t="s">
        <v>479</v>
      </c>
      <c r="I70" s="166">
        <v>9940</v>
      </c>
    </row>
    <row r="71" spans="1:9">
      <c r="A71" s="61">
        <v>74</v>
      </c>
      <c r="B71" s="172" t="s">
        <v>374</v>
      </c>
      <c r="C71" s="172"/>
      <c r="D71" s="172" t="s">
        <v>31</v>
      </c>
      <c r="E71" s="166" t="s">
        <v>474</v>
      </c>
      <c r="F71" s="167"/>
      <c r="G71" s="166" t="s">
        <v>480</v>
      </c>
      <c r="H71" s="166" t="s">
        <v>481</v>
      </c>
      <c r="I71" s="166">
        <v>24202</v>
      </c>
    </row>
    <row r="72" spans="1:9" ht="28.9">
      <c r="B72" s="127" t="s">
        <v>80</v>
      </c>
      <c r="C72" s="152" t="s">
        <v>482</v>
      </c>
      <c r="D72" s="128"/>
      <c r="E72" s="128" t="s">
        <v>442</v>
      </c>
      <c r="F72" s="129"/>
      <c r="G72" s="128" t="s">
        <v>483</v>
      </c>
      <c r="H72" s="129"/>
    </row>
    <row r="73" spans="1:9" ht="28.9">
      <c r="B73" s="127" t="s">
        <v>52</v>
      </c>
      <c r="C73" s="152" t="s">
        <v>482</v>
      </c>
      <c r="D73" s="128"/>
      <c r="E73" s="128" t="s">
        <v>442</v>
      </c>
      <c r="F73" s="129"/>
      <c r="G73" s="128" t="s">
        <v>483</v>
      </c>
      <c r="H73" s="129"/>
    </row>
    <row r="74" spans="1:9" ht="28.9">
      <c r="B74" s="127" t="s">
        <v>81</v>
      </c>
      <c r="C74" s="152" t="s">
        <v>482</v>
      </c>
      <c r="D74" s="128"/>
      <c r="E74" s="128" t="s">
        <v>442</v>
      </c>
      <c r="F74" s="129"/>
      <c r="G74" s="128" t="s">
        <v>483</v>
      </c>
      <c r="H74" s="129"/>
    </row>
    <row r="75" spans="1:9" ht="28.9">
      <c r="B75" s="127" t="s">
        <v>484</v>
      </c>
      <c r="C75" s="152" t="s">
        <v>482</v>
      </c>
      <c r="D75" s="128"/>
      <c r="E75" s="128" t="s">
        <v>442</v>
      </c>
      <c r="F75" s="129"/>
      <c r="G75" s="128" t="s">
        <v>483</v>
      </c>
      <c r="H75" s="129"/>
    </row>
    <row r="76" spans="1:9" ht="28.9">
      <c r="B76" s="127" t="s">
        <v>485</v>
      </c>
      <c r="C76" s="152" t="s">
        <v>482</v>
      </c>
      <c r="D76" s="128"/>
      <c r="E76" s="128" t="s">
        <v>442</v>
      </c>
      <c r="F76" s="129"/>
      <c r="G76" s="128" t="s">
        <v>483</v>
      </c>
      <c r="H76" s="129"/>
    </row>
    <row r="77" spans="1:9" ht="28.9">
      <c r="B77" s="127" t="s">
        <v>486</v>
      </c>
      <c r="C77" s="152" t="s">
        <v>482</v>
      </c>
      <c r="D77" s="128"/>
      <c r="E77" s="128" t="s">
        <v>442</v>
      </c>
      <c r="F77" s="129"/>
      <c r="G77" s="128" t="s">
        <v>483</v>
      </c>
      <c r="H77" s="129"/>
    </row>
    <row r="78" spans="1:9" ht="28.9">
      <c r="B78" s="127" t="s">
        <v>84</v>
      </c>
      <c r="C78" s="152" t="s">
        <v>482</v>
      </c>
      <c r="D78" s="128"/>
      <c r="E78" s="128" t="s">
        <v>487</v>
      </c>
      <c r="F78" s="129"/>
      <c r="G78" s="128" t="s">
        <v>488</v>
      </c>
      <c r="H78" s="129" t="s">
        <v>489</v>
      </c>
    </row>
    <row r="79" spans="1:9" ht="28.9">
      <c r="B79" s="127" t="s">
        <v>91</v>
      </c>
      <c r="C79" s="152" t="s">
        <v>482</v>
      </c>
      <c r="D79" s="128"/>
      <c r="E79" s="128" t="s">
        <v>487</v>
      </c>
      <c r="F79" s="129"/>
      <c r="G79" s="128" t="s">
        <v>488</v>
      </c>
      <c r="H79" s="129" t="s">
        <v>489</v>
      </c>
    </row>
    <row r="80" spans="1:9" ht="28.9">
      <c r="B80" s="127" t="s">
        <v>92</v>
      </c>
      <c r="C80" s="152" t="s">
        <v>482</v>
      </c>
      <c r="D80" s="128"/>
      <c r="E80" s="128" t="s">
        <v>487</v>
      </c>
      <c r="F80" s="129"/>
      <c r="G80" s="128" t="s">
        <v>488</v>
      </c>
      <c r="H80" s="129" t="s">
        <v>489</v>
      </c>
    </row>
    <row r="81" spans="2:8" ht="28.9">
      <c r="B81" s="127" t="s">
        <v>93</v>
      </c>
      <c r="C81" s="152" t="s">
        <v>482</v>
      </c>
      <c r="D81" s="128"/>
      <c r="E81" s="128" t="s">
        <v>487</v>
      </c>
      <c r="F81" s="129"/>
      <c r="G81" s="128" t="s">
        <v>488</v>
      </c>
      <c r="H81" s="129" t="s">
        <v>489</v>
      </c>
    </row>
    <row r="82" spans="2:8" ht="28.9">
      <c r="B82" s="127" t="s">
        <v>94</v>
      </c>
      <c r="C82" s="152" t="s">
        <v>482</v>
      </c>
      <c r="D82" s="128"/>
      <c r="E82" s="128" t="s">
        <v>487</v>
      </c>
      <c r="F82" s="129"/>
      <c r="G82" s="128" t="s">
        <v>488</v>
      </c>
      <c r="H82" s="129" t="s">
        <v>489</v>
      </c>
    </row>
    <row r="83" spans="2:8" ht="28.9">
      <c r="B83" s="127" t="s">
        <v>96</v>
      </c>
      <c r="C83" s="152" t="s">
        <v>482</v>
      </c>
      <c r="D83" s="128"/>
      <c r="E83" s="128" t="s">
        <v>487</v>
      </c>
      <c r="F83" s="129"/>
      <c r="G83" s="128" t="s">
        <v>488</v>
      </c>
      <c r="H83" s="129" t="s">
        <v>489</v>
      </c>
    </row>
    <row r="84" spans="2:8" ht="28.9">
      <c r="B84" s="127" t="s">
        <v>97</v>
      </c>
      <c r="C84" s="152" t="s">
        <v>482</v>
      </c>
      <c r="D84" s="128"/>
      <c r="E84" s="128" t="s">
        <v>487</v>
      </c>
      <c r="F84" s="129"/>
      <c r="G84" s="128" t="s">
        <v>488</v>
      </c>
      <c r="H84" s="129" t="s">
        <v>490</v>
      </c>
    </row>
    <row r="85" spans="2:8" ht="28.9">
      <c r="B85" s="127" t="s">
        <v>98</v>
      </c>
      <c r="C85" s="152" t="s">
        <v>482</v>
      </c>
      <c r="D85" s="128"/>
      <c r="E85" s="128" t="s">
        <v>487</v>
      </c>
      <c r="F85" s="129"/>
      <c r="G85" s="128" t="s">
        <v>488</v>
      </c>
      <c r="H85" s="129" t="s">
        <v>490</v>
      </c>
    </row>
    <row r="86" spans="2:8" ht="28.9">
      <c r="B86" s="127" t="s">
        <v>99</v>
      </c>
      <c r="C86" s="152" t="s">
        <v>482</v>
      </c>
      <c r="D86" s="128"/>
      <c r="E86" s="128" t="s">
        <v>487</v>
      </c>
      <c r="F86" s="129"/>
      <c r="G86" s="128" t="s">
        <v>488</v>
      </c>
      <c r="H86" s="129" t="s">
        <v>490</v>
      </c>
    </row>
    <row r="87" spans="2:8" ht="28.9">
      <c r="B87" s="127" t="s">
        <v>100</v>
      </c>
      <c r="C87" s="152" t="s">
        <v>482</v>
      </c>
      <c r="D87" s="128"/>
      <c r="E87" s="128" t="s">
        <v>487</v>
      </c>
      <c r="F87" s="129"/>
      <c r="G87" s="128" t="s">
        <v>488</v>
      </c>
      <c r="H87" s="129" t="s">
        <v>491</v>
      </c>
    </row>
    <row r="88" spans="2:8" ht="28.9">
      <c r="B88" s="127" t="s">
        <v>102</v>
      </c>
      <c r="C88" s="152" t="s">
        <v>482</v>
      </c>
      <c r="D88" s="128"/>
      <c r="E88" s="128" t="s">
        <v>487</v>
      </c>
      <c r="F88" s="129"/>
      <c r="G88" s="128" t="s">
        <v>488</v>
      </c>
      <c r="H88" s="129" t="s">
        <v>491</v>
      </c>
    </row>
    <row r="89" spans="2:8" ht="28.9">
      <c r="B89" s="127" t="s">
        <v>103</v>
      </c>
      <c r="C89" s="152" t="s">
        <v>482</v>
      </c>
      <c r="D89" s="128"/>
      <c r="E89" s="128" t="s">
        <v>487</v>
      </c>
      <c r="F89" s="129"/>
      <c r="G89" s="128" t="s">
        <v>488</v>
      </c>
      <c r="H89" s="129" t="s">
        <v>491</v>
      </c>
    </row>
    <row r="90" spans="2:8" ht="28.9">
      <c r="B90" s="127" t="s">
        <v>492</v>
      </c>
      <c r="C90" s="152" t="s">
        <v>482</v>
      </c>
      <c r="D90" s="128"/>
      <c r="E90" s="128" t="s">
        <v>10</v>
      </c>
      <c r="F90" s="129"/>
      <c r="G90" s="128" t="s">
        <v>493</v>
      </c>
      <c r="H90" s="129"/>
    </row>
    <row r="91" spans="2:8" ht="28.9">
      <c r="B91" s="127" t="s">
        <v>494</v>
      </c>
      <c r="C91" s="152" t="s">
        <v>482</v>
      </c>
      <c r="D91" s="128"/>
      <c r="E91" s="128" t="s">
        <v>10</v>
      </c>
      <c r="F91" s="129"/>
      <c r="G91" s="128" t="s">
        <v>493</v>
      </c>
      <c r="H91" s="129"/>
    </row>
    <row r="92" spans="2:8" ht="28.9">
      <c r="B92" s="127" t="s">
        <v>495</v>
      </c>
      <c r="C92" s="152" t="s">
        <v>482</v>
      </c>
      <c r="D92" s="128"/>
      <c r="E92" s="128" t="s">
        <v>10</v>
      </c>
      <c r="F92" s="129"/>
      <c r="G92" s="128" t="s">
        <v>493</v>
      </c>
      <c r="H92" s="129"/>
    </row>
    <row r="93" spans="2:8" ht="28.9">
      <c r="B93" s="127" t="s">
        <v>496</v>
      </c>
      <c r="C93" s="152" t="s">
        <v>482</v>
      </c>
      <c r="D93" s="128"/>
      <c r="E93" s="128" t="s">
        <v>10</v>
      </c>
      <c r="F93" s="129"/>
      <c r="G93" s="128" t="s">
        <v>493</v>
      </c>
      <c r="H93" s="129"/>
    </row>
    <row r="94" spans="2:8" ht="28.9">
      <c r="B94" s="127" t="s">
        <v>497</v>
      </c>
      <c r="C94" s="152" t="s">
        <v>482</v>
      </c>
      <c r="D94" s="128"/>
      <c r="E94" s="128" t="s">
        <v>10</v>
      </c>
      <c r="F94" s="129"/>
      <c r="G94" s="128" t="s">
        <v>493</v>
      </c>
      <c r="H94" s="129"/>
    </row>
    <row r="95" spans="2:8" ht="28.9">
      <c r="B95" s="127" t="s">
        <v>498</v>
      </c>
      <c r="C95" s="152" t="s">
        <v>482</v>
      </c>
      <c r="D95" s="128"/>
      <c r="E95" s="128" t="s">
        <v>10</v>
      </c>
      <c r="F95" s="129"/>
      <c r="G95" s="128" t="s">
        <v>493</v>
      </c>
      <c r="H95" s="129"/>
    </row>
    <row r="96" spans="2:8" ht="28.9">
      <c r="B96" s="127" t="s">
        <v>499</v>
      </c>
      <c r="C96" s="152"/>
      <c r="D96" s="128"/>
      <c r="E96" s="128" t="s">
        <v>500</v>
      </c>
      <c r="F96" s="129"/>
      <c r="G96" s="128"/>
      <c r="H96" s="129"/>
    </row>
    <row r="97" spans="1:8" ht="28.9">
      <c r="B97" s="127" t="s">
        <v>501</v>
      </c>
      <c r="C97" s="152"/>
      <c r="D97" s="128"/>
      <c r="E97" s="128" t="s">
        <v>502</v>
      </c>
      <c r="F97" s="129"/>
      <c r="G97" s="128"/>
      <c r="H97" s="129"/>
    </row>
    <row r="99" spans="1:8" ht="28.9">
      <c r="A99" s="124">
        <v>1</v>
      </c>
      <c r="B99" s="125" t="s">
        <v>15</v>
      </c>
      <c r="C99" s="151"/>
      <c r="D99" s="124" t="s">
        <v>503</v>
      </c>
    </row>
    <row r="100" spans="1:8" ht="28.9">
      <c r="A100" s="124">
        <v>26</v>
      </c>
      <c r="B100" s="125" t="s">
        <v>35</v>
      </c>
      <c r="C100" s="151">
        <v>40</v>
      </c>
      <c r="D100" s="124" t="s">
        <v>394</v>
      </c>
      <c r="E100" s="124" t="s">
        <v>395</v>
      </c>
      <c r="F100" s="126" t="s">
        <v>396</v>
      </c>
      <c r="G100" s="123" t="s">
        <v>397</v>
      </c>
    </row>
    <row r="101" spans="1:8" ht="28.9">
      <c r="A101" s="124">
        <v>27</v>
      </c>
      <c r="B101" s="125" t="s">
        <v>398</v>
      </c>
      <c r="C101" s="151">
        <v>45</v>
      </c>
      <c r="D101" s="124" t="s">
        <v>394</v>
      </c>
      <c r="E101" s="124" t="s">
        <v>399</v>
      </c>
      <c r="F101" s="126" t="s">
        <v>396</v>
      </c>
      <c r="G101" s="123" t="s">
        <v>400</v>
      </c>
    </row>
    <row r="102" spans="1:8" ht="28.9">
      <c r="A102" s="124">
        <v>30</v>
      </c>
      <c r="B102" s="131" t="s">
        <v>504</v>
      </c>
      <c r="C102" s="151">
        <v>43</v>
      </c>
      <c r="D102" s="124" t="s">
        <v>394</v>
      </c>
      <c r="E102" s="124" t="s">
        <v>399</v>
      </c>
      <c r="F102" s="126" t="s">
        <v>396</v>
      </c>
      <c r="G102" s="123" t="s">
        <v>505</v>
      </c>
    </row>
    <row r="103" spans="1:8" ht="28.9">
      <c r="A103" s="124">
        <v>28</v>
      </c>
      <c r="B103" s="125" t="s">
        <v>37</v>
      </c>
      <c r="C103" s="151">
        <v>41</v>
      </c>
      <c r="D103" s="124" t="s">
        <v>403</v>
      </c>
      <c r="E103" s="124" t="s">
        <v>404</v>
      </c>
      <c r="F103" s="126" t="s">
        <v>405</v>
      </c>
      <c r="G103" s="123" t="s">
        <v>406</v>
      </c>
    </row>
    <row r="104" spans="1:8" ht="28.9">
      <c r="A104" s="124">
        <v>29</v>
      </c>
      <c r="B104" s="125" t="s">
        <v>407</v>
      </c>
      <c r="C104" s="151">
        <v>42</v>
      </c>
      <c r="D104" s="124" t="s">
        <v>403</v>
      </c>
      <c r="E104" s="124" t="s">
        <v>408</v>
      </c>
      <c r="F104" s="126" t="s">
        <v>405</v>
      </c>
      <c r="G104" s="123" t="s">
        <v>409</v>
      </c>
    </row>
    <row r="106" spans="1:8" ht="18">
      <c r="A106" s="65" t="s">
        <v>506</v>
      </c>
      <c r="B106" s="2" t="s">
        <v>507</v>
      </c>
    </row>
    <row r="107" spans="1:8" ht="18">
      <c r="A107" s="65" t="s">
        <v>87</v>
      </c>
      <c r="B107" s="2" t="s">
        <v>508</v>
      </c>
    </row>
    <row r="108" spans="1:8" ht="18">
      <c r="A108" s="65" t="s">
        <v>95</v>
      </c>
      <c r="B108" s="2" t="s">
        <v>509</v>
      </c>
    </row>
    <row r="109" spans="1:8" ht="18">
      <c r="A109" s="65" t="s">
        <v>101</v>
      </c>
      <c r="B109" s="2" t="s">
        <v>510</v>
      </c>
    </row>
    <row r="110" spans="1:8" ht="18">
      <c r="A110" s="65" t="s">
        <v>511</v>
      </c>
      <c r="B110" s="2" t="s">
        <v>512</v>
      </c>
    </row>
    <row r="111" spans="1:8" ht="18">
      <c r="A111" s="65" t="s">
        <v>513</v>
      </c>
      <c r="B111" s="2"/>
    </row>
    <row r="112" spans="1:8" ht="18">
      <c r="A112" s="66"/>
      <c r="B112" s="2"/>
    </row>
    <row r="113" spans="1:2" ht="18">
      <c r="A113" s="65" t="s">
        <v>514</v>
      </c>
      <c r="B113" s="2" t="s">
        <v>394</v>
      </c>
    </row>
    <row r="114" spans="1:2" ht="18">
      <c r="A114" s="65" t="s">
        <v>515</v>
      </c>
      <c r="B114" s="2" t="s">
        <v>403</v>
      </c>
    </row>
    <row r="115" spans="1:2" ht="18">
      <c r="A115" s="65" t="s">
        <v>89</v>
      </c>
      <c r="B115" s="2" t="s">
        <v>516</v>
      </c>
    </row>
    <row r="119" spans="1:2" ht="18">
      <c r="B119" s="124" t="s">
        <v>517</v>
      </c>
    </row>
    <row r="120" spans="1:2" ht="18">
      <c r="A120" s="124" t="s">
        <v>518</v>
      </c>
      <c r="B120" s="124" t="s">
        <v>519</v>
      </c>
    </row>
    <row r="121" spans="1:2" ht="18">
      <c r="A121" s="124" t="s">
        <v>518</v>
      </c>
      <c r="B121" s="124" t="s">
        <v>517</v>
      </c>
    </row>
    <row r="265" spans="4:4">
      <c r="D265" s="189"/>
    </row>
  </sheetData>
  <sortState xmlns:xlrd2="http://schemas.microsoft.com/office/spreadsheetml/2017/richdata2" ref="A97:I101">
    <sortCondition ref="B97:B101"/>
  </sortState>
  <pageMargins left="0.70866141732283472" right="0.70866141732283472" top="0.74803149606299213" bottom="0.74803149606299213" header="0.31496062992125984" footer="0.31496062992125984"/>
  <pageSetup paperSize="9" scale="65"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21">
    <tabColor theme="4" tint="0.79998168889431442"/>
  </sheetPr>
  <dimension ref="A1:E8"/>
  <sheetViews>
    <sheetView topLeftCell="D1" workbookViewId="0">
      <selection activeCell="D10" sqref="D10"/>
    </sheetView>
  </sheetViews>
  <sheetFormatPr defaultColWidth="11.42578125" defaultRowHeight="13.15"/>
  <cols>
    <col min="1" max="1" width="7" hidden="1" customWidth="1"/>
    <col min="2" max="2" width="28.28515625" hidden="1" customWidth="1"/>
    <col min="3" max="3" width="25.5703125" hidden="1" customWidth="1"/>
    <col min="4" max="4" width="34.85546875" bestFit="1" customWidth="1"/>
    <col min="5" max="5" width="25.42578125" customWidth="1"/>
  </cols>
  <sheetData>
    <row r="1" spans="1:5" ht="15" customHeight="1">
      <c r="A1" s="3" t="s">
        <v>104</v>
      </c>
      <c r="B1" s="3" t="s">
        <v>266</v>
      </c>
      <c r="C1" s="3" t="s">
        <v>107</v>
      </c>
      <c r="D1" s="3" t="s">
        <v>105</v>
      </c>
      <c r="E1" s="3" t="s">
        <v>108</v>
      </c>
    </row>
    <row r="2" spans="1:5" ht="15" customHeight="1">
      <c r="A2" s="6" t="s">
        <v>282</v>
      </c>
      <c r="B2" s="1" t="s">
        <v>175</v>
      </c>
      <c r="C2" s="1" t="s">
        <v>283</v>
      </c>
      <c r="D2" s="1" t="s">
        <v>520</v>
      </c>
      <c r="E2" s="1" t="s">
        <v>521</v>
      </c>
    </row>
    <row r="3" spans="1:5" ht="15" customHeight="1">
      <c r="A3" s="6" t="s">
        <v>282</v>
      </c>
      <c r="B3" s="1" t="s">
        <v>175</v>
      </c>
      <c r="C3" s="1" t="s">
        <v>283</v>
      </c>
      <c r="D3" s="1" t="s">
        <v>167</v>
      </c>
      <c r="E3" s="1" t="s">
        <v>521</v>
      </c>
    </row>
    <row r="4" spans="1:5" ht="15" customHeight="1">
      <c r="A4" s="6"/>
      <c r="B4" s="1"/>
      <c r="C4" s="1"/>
      <c r="D4" s="1" t="s">
        <v>160</v>
      </c>
      <c r="E4" s="1" t="s">
        <v>521</v>
      </c>
    </row>
    <row r="5" spans="1:5" ht="15" customHeight="1">
      <c r="A5" s="6" t="s">
        <v>273</v>
      </c>
      <c r="B5" s="1" t="s">
        <v>129</v>
      </c>
      <c r="C5" s="1" t="s">
        <v>274</v>
      </c>
      <c r="D5" s="1" t="s">
        <v>209</v>
      </c>
      <c r="E5" s="1" t="s">
        <v>521</v>
      </c>
    </row>
    <row r="6" spans="1:5" ht="15" customHeight="1">
      <c r="A6" s="6" t="s">
        <v>273</v>
      </c>
      <c r="B6" s="1" t="s">
        <v>129</v>
      </c>
      <c r="C6" s="1" t="s">
        <v>274</v>
      </c>
      <c r="D6" s="1" t="s">
        <v>26</v>
      </c>
      <c r="E6" s="1" t="s">
        <v>521</v>
      </c>
    </row>
    <row r="7" spans="1:5" ht="15" customHeight="1">
      <c r="A7" s="6" t="s">
        <v>268</v>
      </c>
      <c r="B7" s="1" t="s">
        <v>126</v>
      </c>
      <c r="C7" s="1" t="s">
        <v>53</v>
      </c>
      <c r="D7" s="1" t="s">
        <v>229</v>
      </c>
      <c r="E7" s="1" t="s">
        <v>521</v>
      </c>
    </row>
    <row r="8" spans="1:5" ht="13.9">
      <c r="D8" s="1"/>
      <c r="E8" s="1"/>
    </row>
  </sheetData>
  <sortState xmlns:xlrd2="http://schemas.microsoft.com/office/spreadsheetml/2017/richdata2" ref="D2:E6">
    <sortCondition ref="D2:D6"/>
  </sortState>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Hoja22">
    <tabColor theme="4" tint="0.79998168889431442"/>
  </sheetPr>
  <dimension ref="A1:E7"/>
  <sheetViews>
    <sheetView topLeftCell="D1" workbookViewId="0">
      <selection activeCell="E16" sqref="E16"/>
    </sheetView>
  </sheetViews>
  <sheetFormatPr defaultColWidth="11.42578125" defaultRowHeight="13.15"/>
  <cols>
    <col min="1" max="1" width="7" hidden="1" customWidth="1"/>
    <col min="2" max="2" width="28.28515625" hidden="1" customWidth="1"/>
    <col min="3" max="3" width="25.5703125" hidden="1" customWidth="1"/>
    <col min="4" max="4" width="34.85546875" bestFit="1" customWidth="1"/>
    <col min="5" max="5" width="25.42578125" customWidth="1"/>
  </cols>
  <sheetData>
    <row r="1" spans="1:5" ht="15" customHeight="1">
      <c r="A1" s="3" t="s">
        <v>104</v>
      </c>
      <c r="B1" s="3" t="s">
        <v>266</v>
      </c>
      <c r="C1" s="3" t="s">
        <v>107</v>
      </c>
      <c r="D1" s="3" t="s">
        <v>105</v>
      </c>
      <c r="E1" s="3" t="s">
        <v>108</v>
      </c>
    </row>
    <row r="2" spans="1:5" ht="15" customHeight="1">
      <c r="A2" s="6" t="s">
        <v>282</v>
      </c>
      <c r="B2" s="1" t="s">
        <v>175</v>
      </c>
      <c r="C2" s="1" t="s">
        <v>283</v>
      </c>
      <c r="D2" s="1" t="s">
        <v>522</v>
      </c>
      <c r="E2" s="1" t="s">
        <v>257</v>
      </c>
    </row>
    <row r="3" spans="1:5" ht="15" customHeight="1">
      <c r="A3" s="6" t="s">
        <v>282</v>
      </c>
      <c r="B3" s="1" t="s">
        <v>175</v>
      </c>
      <c r="C3" s="1" t="s">
        <v>283</v>
      </c>
      <c r="D3" s="1" t="s">
        <v>167</v>
      </c>
      <c r="E3" s="1" t="s">
        <v>257</v>
      </c>
    </row>
    <row r="4" spans="1:5" ht="15" customHeight="1">
      <c r="A4" s="6"/>
      <c r="B4" s="1"/>
      <c r="C4" s="1"/>
      <c r="D4" s="1" t="s">
        <v>160</v>
      </c>
      <c r="E4" s="1" t="s">
        <v>257</v>
      </c>
    </row>
    <row r="5" spans="1:5" ht="15" customHeight="1">
      <c r="A5" s="6" t="s">
        <v>273</v>
      </c>
      <c r="B5" s="1" t="s">
        <v>129</v>
      </c>
      <c r="C5" s="1" t="s">
        <v>274</v>
      </c>
      <c r="D5" s="1" t="s">
        <v>44</v>
      </c>
      <c r="E5" s="1" t="s">
        <v>257</v>
      </c>
    </row>
    <row r="6" spans="1:5" ht="15" customHeight="1">
      <c r="A6" s="6" t="s">
        <v>268</v>
      </c>
      <c r="B6" s="1" t="s">
        <v>126</v>
      </c>
      <c r="C6" s="1" t="s">
        <v>53</v>
      </c>
      <c r="D6" s="1" t="s">
        <v>28</v>
      </c>
      <c r="E6" s="1" t="s">
        <v>257</v>
      </c>
    </row>
    <row r="7" spans="1:5" ht="13.9">
      <c r="D7" s="1" t="s">
        <v>523</v>
      </c>
      <c r="E7" s="1" t="s">
        <v>257</v>
      </c>
    </row>
  </sheetData>
  <sortState xmlns:xlrd2="http://schemas.microsoft.com/office/spreadsheetml/2017/richdata2" ref="D2:E6">
    <sortCondition ref="D2:D6"/>
  </sortState>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Hoja8">
    <tabColor rgb="FFFF0000"/>
    <pageSetUpPr fitToPage="1"/>
  </sheetPr>
  <dimension ref="A1:M43"/>
  <sheetViews>
    <sheetView showGridLines="0" topLeftCell="B1" zoomScaleNormal="100" workbookViewId="0">
      <selection activeCell="H6" sqref="H6:H8"/>
    </sheetView>
  </sheetViews>
  <sheetFormatPr defaultColWidth="11.42578125" defaultRowHeight="15.6"/>
  <cols>
    <col min="1" max="1" width="5.140625" style="10" hidden="1" customWidth="1"/>
    <col min="2" max="2" width="15.7109375" style="8" customWidth="1"/>
    <col min="3" max="3" width="6.28515625" style="10" customWidth="1"/>
    <col min="4" max="4" width="2.5703125" style="10" customWidth="1"/>
    <col min="5" max="5" width="42.7109375" style="21" customWidth="1"/>
    <col min="6" max="6" width="3.140625" style="10" customWidth="1"/>
    <col min="7" max="7" width="15.85546875" style="10" bestFit="1" customWidth="1"/>
    <col min="8" max="8" width="46.42578125" style="21" bestFit="1" customWidth="1"/>
    <col min="9" max="16384" width="11.42578125" style="10"/>
  </cols>
  <sheetData>
    <row r="1" spans="2:13" ht="16.149999999999999" thickBot="1">
      <c r="B1" s="2"/>
      <c r="C1" s="42"/>
      <c r="D1" s="42"/>
      <c r="E1" s="43"/>
      <c r="F1" s="42"/>
      <c r="G1" s="42"/>
      <c r="H1" s="44"/>
      <c r="I1" s="9"/>
    </row>
    <row r="2" spans="2:13" ht="21.6" thickBot="1">
      <c r="B2" s="13" t="s">
        <v>13</v>
      </c>
      <c r="C2" s="42"/>
      <c r="D2" s="42"/>
      <c r="E2" s="38" t="e">
        <f>+Operacion!#REF!</f>
        <v>#REF!</v>
      </c>
      <c r="F2" s="45"/>
      <c r="G2" s="13" t="s">
        <v>250</v>
      </c>
      <c r="H2" s="46">
        <f>+Operacion!D1</f>
        <v>46278</v>
      </c>
      <c r="I2" s="9"/>
    </row>
    <row r="3" spans="2:13" ht="21.75" customHeight="1" thickBot="1">
      <c r="B3" s="6"/>
      <c r="C3" s="42"/>
      <c r="D3" s="42"/>
      <c r="E3" s="47"/>
      <c r="F3" s="48"/>
      <c r="G3" s="42"/>
      <c r="H3" s="22"/>
      <c r="I3" s="9"/>
    </row>
    <row r="4" spans="2:13" ht="21" customHeight="1" thickBot="1">
      <c r="B4" s="13" t="s">
        <v>245</v>
      </c>
      <c r="C4" s="42"/>
      <c r="D4" s="42"/>
      <c r="E4" s="39" t="e">
        <f>+Operacion!#REF!</f>
        <v>#REF!</v>
      </c>
      <c r="F4" s="49"/>
      <c r="G4" s="13" t="s">
        <v>251</v>
      </c>
      <c r="H4" s="50" t="e">
        <f>+Operacion!#REF!</f>
        <v>#REF!</v>
      </c>
      <c r="I4" s="265"/>
    </row>
    <row r="5" spans="2:13" ht="15.75" customHeight="1" thickBot="1">
      <c r="B5" s="2"/>
      <c r="C5" s="42"/>
      <c r="D5" s="42"/>
      <c r="E5" s="43"/>
      <c r="F5" s="42"/>
      <c r="G5" s="42"/>
      <c r="H5" s="44"/>
      <c r="I5" s="265"/>
    </row>
    <row r="6" spans="2:13" ht="26.45" thickBot="1">
      <c r="B6" s="13" t="s">
        <v>252</v>
      </c>
      <c r="C6" s="1"/>
      <c r="D6" s="42"/>
      <c r="E6" s="37" t="e">
        <f>+Operacion!#REF!</f>
        <v>#REF!</v>
      </c>
      <c r="F6" s="20"/>
      <c r="G6" s="13" t="s">
        <v>239</v>
      </c>
      <c r="H6" s="23" t="e">
        <f>VLOOKUP(E6,tablaequipo,6)</f>
        <v>#REF!</v>
      </c>
      <c r="I6" s="9"/>
    </row>
    <row r="7" spans="2:13" ht="15.75" customHeight="1">
      <c r="B7" s="2"/>
      <c r="C7" s="42"/>
      <c r="D7" s="42"/>
      <c r="E7" s="23" t="e">
        <f>VLOOKUP(E6,tablaequipo,4)</f>
        <v>#REF!</v>
      </c>
      <c r="F7" s="20"/>
      <c r="G7" s="13" t="s">
        <v>240</v>
      </c>
      <c r="H7" s="24" t="e">
        <f>VLOOKUP(E6,tablaequipo,7)</f>
        <v>#REF!</v>
      </c>
      <c r="I7" s="9"/>
      <c r="M7" s="11"/>
    </row>
    <row r="8" spans="2:13" ht="15.75" customHeight="1" thickBot="1">
      <c r="B8" s="2"/>
      <c r="C8" s="42"/>
      <c r="D8" s="42"/>
      <c r="E8" s="25" t="e">
        <f>VLOOKUP(E6,tablaequipo,5)</f>
        <v>#REF!</v>
      </c>
      <c r="F8" s="20"/>
      <c r="G8" s="13" t="s">
        <v>241</v>
      </c>
      <c r="H8" s="25" t="e">
        <f>VLOOKUP(E6,tablaequipo,8)</f>
        <v>#REF!</v>
      </c>
      <c r="I8" s="9"/>
      <c r="M8" s="11"/>
    </row>
    <row r="9" spans="2:13" ht="16.5" customHeight="1" thickBot="1">
      <c r="B9" s="2"/>
      <c r="C9" s="42"/>
      <c r="D9" s="42"/>
      <c r="E9" s="45"/>
      <c r="F9" s="51"/>
      <c r="G9" s="42"/>
      <c r="H9" s="44"/>
      <c r="I9" s="9"/>
      <c r="M9" s="11" t="s">
        <v>253</v>
      </c>
    </row>
    <row r="10" spans="2:13" ht="21.6" thickBot="1">
      <c r="B10" s="13" t="s">
        <v>254</v>
      </c>
      <c r="C10" s="42"/>
      <c r="D10" s="42"/>
      <c r="E10" s="38" t="e">
        <f>+Operacion!#REF!</f>
        <v>#REF!</v>
      </c>
      <c r="F10" s="45"/>
      <c r="G10" s="42"/>
      <c r="H10" s="44"/>
      <c r="I10" s="9"/>
    </row>
    <row r="11" spans="2:13" ht="15.75" customHeight="1">
      <c r="B11" s="2"/>
      <c r="C11" s="42"/>
      <c r="D11" s="42"/>
      <c r="E11" s="44"/>
      <c r="F11" s="1"/>
      <c r="G11" s="42"/>
      <c r="H11" s="44"/>
      <c r="I11" s="9"/>
      <c r="M11" s="9"/>
    </row>
    <row r="12" spans="2:13" ht="16.5" customHeight="1" thickBot="1">
      <c r="B12" s="2"/>
      <c r="C12" s="42"/>
      <c r="D12" s="42"/>
      <c r="E12" s="44"/>
      <c r="F12" s="1"/>
      <c r="G12" s="42"/>
      <c r="H12" s="44"/>
      <c r="I12" s="9"/>
      <c r="M12" s="12"/>
    </row>
    <row r="13" spans="2:13" ht="20.25" customHeight="1" thickBot="1">
      <c r="B13" s="13" t="s">
        <v>255</v>
      </c>
      <c r="C13" s="42"/>
      <c r="D13" s="52">
        <v>1</v>
      </c>
      <c r="E13" s="38" t="e">
        <f>+Operacion!#REF!</f>
        <v>#REF!</v>
      </c>
      <c r="F13" s="45"/>
      <c r="G13" s="52">
        <v>4</v>
      </c>
      <c r="H13" s="38" t="e">
        <f>+Operacion!#REF!</f>
        <v>#REF!</v>
      </c>
      <c r="I13" s="9"/>
    </row>
    <row r="14" spans="2:13" ht="20.25" customHeight="1" thickBot="1">
      <c r="B14" s="2"/>
      <c r="C14" s="42"/>
      <c r="D14" s="52">
        <v>2</v>
      </c>
      <c r="E14" s="38" t="e">
        <f>+Operacion!#REF!</f>
        <v>#REF!</v>
      </c>
      <c r="F14" s="45"/>
      <c r="G14" s="52">
        <v>5</v>
      </c>
      <c r="H14" s="38" t="e">
        <f>+Operacion!#REF!</f>
        <v>#REF!</v>
      </c>
      <c r="I14" s="9"/>
    </row>
    <row r="15" spans="2:13" ht="20.25" customHeight="1" thickBot="1">
      <c r="B15" s="2"/>
      <c r="C15" s="42"/>
      <c r="D15" s="52">
        <v>3</v>
      </c>
      <c r="E15" s="38" t="e">
        <f>+Operacion!#REF!</f>
        <v>#REF!</v>
      </c>
      <c r="F15" s="45"/>
      <c r="G15" s="52">
        <v>6</v>
      </c>
      <c r="H15" s="38" t="e">
        <f>+Operacion!#REF!</f>
        <v>#REF!</v>
      </c>
      <c r="I15" s="9"/>
    </row>
    <row r="16" spans="2:13" ht="20.25" customHeight="1" thickBot="1">
      <c r="B16" s="2"/>
      <c r="C16" s="42"/>
      <c r="D16" s="42"/>
      <c r="E16" s="44"/>
      <c r="F16" s="1"/>
      <c r="G16" s="42"/>
      <c r="H16" s="44"/>
      <c r="I16" s="9"/>
    </row>
    <row r="17" spans="2:9" ht="21.6" thickBot="1">
      <c r="B17" s="13" t="s">
        <v>256</v>
      </c>
      <c r="C17" s="42"/>
      <c r="D17" s="42"/>
      <c r="E17" s="40" t="e">
        <f>+Operacion!#REF!</f>
        <v>#REF!</v>
      </c>
      <c r="F17" s="45"/>
      <c r="G17" s="42"/>
      <c r="H17" s="44"/>
      <c r="I17" s="9"/>
    </row>
    <row r="18" spans="2:9" ht="20.25" customHeight="1" thickBot="1">
      <c r="B18" s="2"/>
      <c r="C18" s="42"/>
      <c r="D18" s="42"/>
      <c r="E18" s="44"/>
      <c r="F18" s="1"/>
      <c r="G18" s="42"/>
      <c r="H18" s="44"/>
      <c r="I18" s="9"/>
    </row>
    <row r="19" spans="2:9" ht="21.6" thickBot="1">
      <c r="B19" s="13" t="s">
        <v>257</v>
      </c>
      <c r="C19" s="42"/>
      <c r="D19" s="42"/>
      <c r="E19" s="40" t="e">
        <f>+Operacion!#REF!</f>
        <v>#REF!</v>
      </c>
      <c r="F19" s="45"/>
      <c r="G19" s="42"/>
      <c r="H19" s="44"/>
      <c r="I19" s="9"/>
    </row>
    <row r="20" spans="2:9" ht="20.25" customHeight="1" thickBot="1">
      <c r="B20" s="2"/>
      <c r="C20" s="42"/>
      <c r="D20" s="42"/>
      <c r="E20" s="44"/>
      <c r="F20" s="1"/>
      <c r="G20" s="42"/>
      <c r="H20" s="44"/>
      <c r="I20" s="9"/>
    </row>
    <row r="21" spans="2:9" ht="20.25" customHeight="1">
      <c r="B21" s="13" t="s">
        <v>258</v>
      </c>
      <c r="C21" s="53"/>
      <c r="D21" s="53"/>
      <c r="E21" s="213" t="e">
        <f>+Operacion!#REF!</f>
        <v>#REF!</v>
      </c>
      <c r="F21" s="214"/>
      <c r="G21" s="214"/>
      <c r="H21" s="215"/>
      <c r="I21" s="9"/>
    </row>
    <row r="22" spans="2:9" ht="20.25" customHeight="1">
      <c r="B22" s="2"/>
      <c r="C22" s="2"/>
      <c r="D22" s="2"/>
      <c r="E22" s="216"/>
      <c r="F22" s="217"/>
      <c r="G22" s="217"/>
      <c r="H22" s="218"/>
      <c r="I22" s="9"/>
    </row>
    <row r="23" spans="2:9" ht="20.25" customHeight="1" thickBot="1">
      <c r="B23" s="2"/>
      <c r="C23" s="54"/>
      <c r="D23" s="54"/>
      <c r="E23" s="219"/>
      <c r="F23" s="220"/>
      <c r="G23" s="220"/>
      <c r="H23" s="221"/>
      <c r="I23" s="9"/>
    </row>
    <row r="24" spans="2:9" ht="20.25" customHeight="1" thickBot="1">
      <c r="B24" s="2"/>
      <c r="C24" s="42"/>
      <c r="D24" s="42"/>
      <c r="E24" s="43"/>
      <c r="F24" s="42"/>
      <c r="G24" s="42"/>
      <c r="H24" s="44"/>
      <c r="I24" s="9"/>
    </row>
    <row r="25" spans="2:9" ht="20.25" customHeight="1">
      <c r="B25" s="13" t="s">
        <v>259</v>
      </c>
      <c r="C25" s="53"/>
      <c r="D25" s="53"/>
      <c r="E25" s="213" t="e">
        <f>+Operacion!#REF!</f>
        <v>#REF!</v>
      </c>
      <c r="F25" s="214"/>
      <c r="G25" s="214"/>
      <c r="H25" s="215"/>
      <c r="I25" s="9"/>
    </row>
    <row r="26" spans="2:9" ht="20.25" customHeight="1" thickBot="1">
      <c r="B26" s="6"/>
      <c r="C26" s="55"/>
      <c r="D26" s="55"/>
      <c r="E26" s="219" t="e">
        <f>+Operacion!#REF!</f>
        <v>#REF!</v>
      </c>
      <c r="F26" s="220"/>
      <c r="G26" s="220"/>
      <c r="H26" s="221"/>
      <c r="I26" s="9"/>
    </row>
    <row r="27" spans="2:9" ht="20.25" customHeight="1" thickBot="1">
      <c r="B27" s="6"/>
      <c r="C27" s="42"/>
      <c r="D27" s="42"/>
      <c r="E27" s="56"/>
      <c r="F27" s="55"/>
      <c r="G27" s="42"/>
      <c r="H27" s="44"/>
      <c r="I27" s="9"/>
    </row>
    <row r="28" spans="2:9" ht="20.25" customHeight="1">
      <c r="B28" s="13" t="s">
        <v>243</v>
      </c>
      <c r="C28" s="53"/>
      <c r="D28" s="53"/>
      <c r="E28" s="213" t="e">
        <f>+Operacion!#REF!</f>
        <v>#REF!</v>
      </c>
      <c r="F28" s="214"/>
      <c r="G28" s="214"/>
      <c r="H28" s="215"/>
      <c r="I28" s="9"/>
    </row>
    <row r="29" spans="2:9" ht="20.25" customHeight="1">
      <c r="B29" s="2"/>
      <c r="C29" s="2"/>
      <c r="D29" s="2"/>
      <c r="E29" s="216"/>
      <c r="F29" s="217"/>
      <c r="G29" s="217"/>
      <c r="H29" s="218"/>
      <c r="I29" s="9"/>
    </row>
    <row r="30" spans="2:9" ht="20.25" customHeight="1" thickBot="1">
      <c r="B30" s="2"/>
      <c r="C30" s="2"/>
      <c r="D30" s="2"/>
      <c r="E30" s="219"/>
      <c r="F30" s="220"/>
      <c r="G30" s="220"/>
      <c r="H30" s="221"/>
      <c r="I30" s="9"/>
    </row>
    <row r="31" spans="2:9" ht="20.25" customHeight="1" thickBot="1">
      <c r="B31" s="6"/>
      <c r="C31" s="1"/>
      <c r="D31" s="1"/>
      <c r="E31" s="56"/>
      <c r="F31" s="55"/>
      <c r="G31" s="1"/>
      <c r="H31" s="44"/>
      <c r="I31" s="9"/>
    </row>
    <row r="32" spans="2:9" ht="20.25" customHeight="1">
      <c r="B32" s="13" t="s">
        <v>259</v>
      </c>
      <c r="C32" s="53"/>
      <c r="D32" s="53"/>
      <c r="E32" s="213" t="e">
        <f>+Operacion!#REF!</f>
        <v>#REF!</v>
      </c>
      <c r="F32" s="214"/>
      <c r="G32" s="214"/>
      <c r="H32" s="215"/>
      <c r="I32" s="9"/>
    </row>
    <row r="33" spans="2:9" ht="20.25" customHeight="1" thickBot="1">
      <c r="B33" s="6"/>
      <c r="C33" s="55"/>
      <c r="D33" s="55"/>
      <c r="E33" s="219" t="e">
        <f>+Operacion!#REF!</f>
        <v>#REF!</v>
      </c>
      <c r="F33" s="220"/>
      <c r="G33" s="220"/>
      <c r="H33" s="221"/>
      <c r="I33" s="9"/>
    </row>
    <row r="34" spans="2:9" ht="20.25" customHeight="1" thickBot="1">
      <c r="B34" s="6"/>
      <c r="C34" s="42"/>
      <c r="D34" s="42"/>
      <c r="E34" s="56"/>
      <c r="F34" s="55"/>
      <c r="G34" s="42"/>
      <c r="H34" s="44"/>
      <c r="I34" s="9"/>
    </row>
    <row r="35" spans="2:9" ht="20.25" customHeight="1">
      <c r="B35" s="13" t="s">
        <v>260</v>
      </c>
      <c r="C35" s="53"/>
      <c r="D35" s="53"/>
      <c r="E35" s="204"/>
      <c r="F35" s="205"/>
      <c r="G35" s="205"/>
      <c r="H35" s="206"/>
      <c r="I35" s="9"/>
    </row>
    <row r="36" spans="2:9" ht="20.25" customHeight="1">
      <c r="B36" s="2"/>
      <c r="C36" s="54"/>
      <c r="D36" s="54"/>
      <c r="E36" s="207"/>
      <c r="F36" s="208"/>
      <c r="G36" s="208"/>
      <c r="H36" s="209"/>
      <c r="I36" s="9"/>
    </row>
    <row r="37" spans="2:9" ht="20.25" customHeight="1">
      <c r="B37" s="2"/>
      <c r="C37" s="54"/>
      <c r="D37" s="54"/>
      <c r="E37" s="207"/>
      <c r="F37" s="208"/>
      <c r="G37" s="208"/>
      <c r="H37" s="209"/>
      <c r="I37" s="9"/>
    </row>
    <row r="38" spans="2:9" ht="20.25" customHeight="1" thickBot="1">
      <c r="B38" s="2"/>
      <c r="C38" s="54"/>
      <c r="D38" s="54"/>
      <c r="E38" s="210"/>
      <c r="F38" s="211"/>
      <c r="G38" s="211"/>
      <c r="H38" s="212"/>
      <c r="I38" s="9"/>
    </row>
    <row r="39" spans="2:9">
      <c r="B39" s="2"/>
      <c r="C39" s="42"/>
      <c r="D39" s="42"/>
      <c r="E39" s="43"/>
      <c r="F39" s="42"/>
      <c r="G39" s="42"/>
      <c r="H39" s="44"/>
      <c r="I39" s="9"/>
    </row>
    <row r="40" spans="2:9">
      <c r="C40" s="9"/>
      <c r="D40" s="9"/>
      <c r="E40" s="26"/>
      <c r="F40" s="9"/>
      <c r="G40" s="9"/>
      <c r="I40" s="9"/>
    </row>
    <row r="41" spans="2:9">
      <c r="C41" s="9"/>
      <c r="D41" s="9"/>
      <c r="E41" s="26"/>
      <c r="F41" s="9"/>
      <c r="G41" s="9"/>
      <c r="I41" s="9"/>
    </row>
    <row r="42" spans="2:9">
      <c r="C42" s="9"/>
      <c r="D42" s="9"/>
      <c r="E42" s="26"/>
      <c r="F42" s="9"/>
      <c r="G42" s="9"/>
      <c r="I42" s="9"/>
    </row>
    <row r="43" spans="2:9">
      <c r="C43" s="9"/>
      <c r="D43" s="9"/>
      <c r="E43" s="26"/>
      <c r="F43" s="9"/>
      <c r="G43" s="9"/>
      <c r="I43" s="9"/>
    </row>
  </sheetData>
  <sheetProtection algorithmName="SHA-512" hashValue="Ij8jlVPOUFEV+fcPCyIHxehi++SJnVBOxuMyILtt8lxoARHI9tzVFHz8q15cjO09xyO81X8uBDLXmVCH+z2fng==" saltValue="quZw4veJf7Ew9HjjGawzZg==" spinCount="100000" sheet="1" objects="1" scenarios="1"/>
  <dataConsolidate/>
  <mergeCells count="8">
    <mergeCell ref="E35:H38"/>
    <mergeCell ref="I4:I5"/>
    <mergeCell ref="E25:H25"/>
    <mergeCell ref="E26:H26"/>
    <mergeCell ref="E32:H32"/>
    <mergeCell ref="E33:H33"/>
    <mergeCell ref="E21:H23"/>
    <mergeCell ref="E28:H30"/>
  </mergeCells>
  <dataValidations count="3">
    <dataValidation type="list" allowBlank="1" showInputMessage="1" showErrorMessage="1" sqref="E6" xr:uid="{00000000-0002-0000-2B00-000000000000}">
      <formula1>unidad</formula1>
    </dataValidation>
    <dataValidation type="list" allowBlank="1" showInputMessage="1" showErrorMessage="1" sqref="E10:F10 H13:H15" xr:uid="{00000000-0002-0000-2B00-000001000000}">
      <formula1>$D$2:$D$47</formula1>
    </dataValidation>
    <dataValidation type="list" allowBlank="1" showInputMessage="1" showErrorMessage="1" sqref="E13:F15" xr:uid="{00000000-0002-0000-2B00-000002000000}">
      <formula1>#REF!</formula1>
    </dataValidation>
  </dataValidations>
  <pageMargins left="0.28000000000000003" right="0.12" top="0.64" bottom="1" header="0" footer="0"/>
  <pageSetup paperSize="9" scale="76" orientation="portrait" horizontalDpi="4294967293" r:id="rId1"/>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B00-000003000000}">
          <x14:formula1>
            <xm:f>Empresas!$C$2:$C$10</xm:f>
          </x14:formula1>
          <xm:sqref>E2:F2</xm:sqref>
        </x14:dataValidation>
        <x14:dataValidation type="list" allowBlank="1" showInputMessage="1" showErrorMessage="1" xr:uid="{00000000-0002-0000-2B00-000004000000}">
          <x14:formula1>
            <xm:f>Verificador!$D$3:$D$8</xm:f>
          </x14:formula1>
          <xm:sqref>E17:F17</xm:sqref>
        </x14:dataValidation>
        <x14:dataValidation type="list" allowBlank="1" showInputMessage="1" showErrorMessage="1" xr:uid="{00000000-0002-0000-2B00-000005000000}">
          <x14:formula1>
            <xm:f>Operador!$D$5:$D$7</xm:f>
          </x14:formula1>
          <xm:sqref>E19:F19</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Hoja16">
    <tabColor rgb="FFFF0000"/>
    <pageSetUpPr fitToPage="1"/>
  </sheetPr>
  <dimension ref="A1:M43"/>
  <sheetViews>
    <sheetView showGridLines="0" topLeftCell="B1" zoomScaleNormal="100" workbookViewId="0">
      <selection activeCell="H6" sqref="H6:H8"/>
    </sheetView>
  </sheetViews>
  <sheetFormatPr defaultColWidth="11.42578125" defaultRowHeight="15.6"/>
  <cols>
    <col min="1" max="1" width="5.140625" style="1" hidden="1" customWidth="1"/>
    <col min="2" max="2" width="15.7109375" style="2" customWidth="1"/>
    <col min="3" max="3" width="6.28515625" style="1" customWidth="1"/>
    <col min="4" max="4" width="2.5703125" style="1" customWidth="1"/>
    <col min="5" max="5" width="42.7109375" style="44" customWidth="1"/>
    <col min="6" max="6" width="3.140625" style="1" customWidth="1"/>
    <col min="7" max="7" width="15.85546875" style="1" bestFit="1" customWidth="1"/>
    <col min="8" max="8" width="46.42578125" style="44" bestFit="1" customWidth="1"/>
    <col min="9" max="16384" width="11.42578125" style="1"/>
  </cols>
  <sheetData>
    <row r="1" spans="2:13" ht="16.149999999999999" thickBot="1">
      <c r="C1" s="42"/>
      <c r="D1" s="42"/>
      <c r="E1" s="43"/>
      <c r="F1" s="42"/>
      <c r="G1" s="42"/>
      <c r="I1" s="42"/>
    </row>
    <row r="2" spans="2:13" ht="21.6" thickBot="1">
      <c r="B2" s="13" t="s">
        <v>13</v>
      </c>
      <c r="C2" s="42"/>
      <c r="D2" s="42"/>
      <c r="E2" s="38" t="e">
        <f>+Operacion!#REF!</f>
        <v>#REF!</v>
      </c>
      <c r="F2" s="45"/>
      <c r="G2" s="13" t="s">
        <v>250</v>
      </c>
      <c r="H2" s="46">
        <f>+Operacion!D1</f>
        <v>46278</v>
      </c>
      <c r="I2" s="42"/>
    </row>
    <row r="3" spans="2:13" ht="21.75" customHeight="1" thickBot="1">
      <c r="B3" s="6"/>
      <c r="C3" s="42"/>
      <c r="D3" s="42"/>
      <c r="E3" s="47"/>
      <c r="F3" s="48"/>
      <c r="G3" s="42"/>
      <c r="H3" s="22"/>
      <c r="I3" s="42"/>
    </row>
    <row r="4" spans="2:13" ht="21" customHeight="1" thickBot="1">
      <c r="B4" s="13" t="s">
        <v>245</v>
      </c>
      <c r="C4" s="42"/>
      <c r="D4" s="42"/>
      <c r="E4" s="39" t="e">
        <f>+Operacion!#REF!</f>
        <v>#REF!</v>
      </c>
      <c r="F4" s="49"/>
      <c r="G4" s="13" t="s">
        <v>251</v>
      </c>
      <c r="H4" s="50" t="e">
        <f>+Operacion!#REF!</f>
        <v>#REF!</v>
      </c>
      <c r="I4" s="43"/>
    </row>
    <row r="5" spans="2:13" ht="15.75" customHeight="1" thickBot="1">
      <c r="C5" s="42"/>
      <c r="D5" s="42"/>
      <c r="E5" s="43"/>
      <c r="F5" s="42"/>
      <c r="G5" s="42"/>
      <c r="I5" s="43"/>
    </row>
    <row r="6" spans="2:13" ht="26.45" thickBot="1">
      <c r="B6" s="13" t="s">
        <v>252</v>
      </c>
      <c r="D6" s="42"/>
      <c r="E6" s="37" t="e">
        <f>+Operacion!#REF!</f>
        <v>#REF!</v>
      </c>
      <c r="F6" s="20"/>
      <c r="G6" s="13" t="s">
        <v>239</v>
      </c>
      <c r="H6" s="23" t="e">
        <f>VLOOKUP(E6,tablaequipo,6)</f>
        <v>#REF!</v>
      </c>
      <c r="I6" s="42"/>
    </row>
    <row r="7" spans="2:13" ht="15.75" customHeight="1">
      <c r="C7" s="42"/>
      <c r="D7" s="42"/>
      <c r="E7" s="23" t="e">
        <f>VLOOKUP(E6,tablaequipo,4)</f>
        <v>#REF!</v>
      </c>
      <c r="F7" s="20"/>
      <c r="G7" s="13" t="s">
        <v>240</v>
      </c>
      <c r="H7" s="24" t="e">
        <f>VLOOKUP(E6,tablaequipo,7)</f>
        <v>#REF!</v>
      </c>
      <c r="I7" s="42"/>
      <c r="M7" s="57"/>
    </row>
    <row r="8" spans="2:13" ht="15.75" customHeight="1" thickBot="1">
      <c r="C8" s="42"/>
      <c r="D8" s="42"/>
      <c r="E8" s="25" t="e">
        <f>VLOOKUP(E6,tablaequipo,5)</f>
        <v>#REF!</v>
      </c>
      <c r="F8" s="20"/>
      <c r="G8" s="13" t="s">
        <v>241</v>
      </c>
      <c r="H8" s="25" t="e">
        <f>VLOOKUP(E6,tablaequipo,8)</f>
        <v>#REF!</v>
      </c>
      <c r="I8" s="42"/>
      <c r="M8" s="57"/>
    </row>
    <row r="9" spans="2:13" ht="16.5" customHeight="1" thickBot="1">
      <c r="C9" s="42"/>
      <c r="D9" s="42"/>
      <c r="E9" s="45"/>
      <c r="F9" s="51"/>
      <c r="G9" s="42"/>
      <c r="I9" s="42"/>
      <c r="M9" s="57" t="s">
        <v>253</v>
      </c>
    </row>
    <row r="10" spans="2:13" ht="21.6" thickBot="1">
      <c r="B10" s="13" t="s">
        <v>254</v>
      </c>
      <c r="C10" s="42"/>
      <c r="D10" s="42"/>
      <c r="E10" s="38" t="e">
        <f>+Operacion!#REF!</f>
        <v>#REF!</v>
      </c>
      <c r="F10" s="45"/>
      <c r="G10" s="42"/>
      <c r="I10" s="42"/>
    </row>
    <row r="11" spans="2:13" ht="15.75" customHeight="1">
      <c r="C11" s="42"/>
      <c r="D11" s="42"/>
      <c r="G11" s="42"/>
      <c r="I11" s="42"/>
      <c r="M11" s="42"/>
    </row>
    <row r="12" spans="2:13" ht="16.5" customHeight="1" thickBot="1">
      <c r="C12" s="42"/>
      <c r="D12" s="42"/>
      <c r="G12" s="42"/>
      <c r="I12" s="42"/>
      <c r="M12" s="55"/>
    </row>
    <row r="13" spans="2:13" ht="20.25" customHeight="1" thickBot="1">
      <c r="B13" s="13" t="s">
        <v>255</v>
      </c>
      <c r="C13" s="42"/>
      <c r="D13" s="52">
        <v>1</v>
      </c>
      <c r="E13" s="38" t="e">
        <f>+Operacion!#REF!</f>
        <v>#REF!</v>
      </c>
      <c r="F13" s="45"/>
      <c r="G13" s="52">
        <v>4</v>
      </c>
      <c r="H13" s="38" t="e">
        <f>+Operacion!#REF!</f>
        <v>#REF!</v>
      </c>
      <c r="I13" s="42"/>
    </row>
    <row r="14" spans="2:13" ht="20.25" customHeight="1" thickBot="1">
      <c r="C14" s="42"/>
      <c r="D14" s="52">
        <v>2</v>
      </c>
      <c r="E14" s="38" t="e">
        <f>+Operacion!#REF!</f>
        <v>#REF!</v>
      </c>
      <c r="F14" s="45"/>
      <c r="G14" s="52">
        <v>5</v>
      </c>
      <c r="H14" s="38" t="e">
        <f>+Operacion!#REF!</f>
        <v>#REF!</v>
      </c>
      <c r="I14" s="42"/>
    </row>
    <row r="15" spans="2:13" ht="20.25" customHeight="1" thickBot="1">
      <c r="C15" s="42"/>
      <c r="D15" s="52">
        <v>3</v>
      </c>
      <c r="E15" s="38" t="e">
        <f>+Operacion!#REF!</f>
        <v>#REF!</v>
      </c>
      <c r="F15" s="45"/>
      <c r="G15" s="52">
        <v>6</v>
      </c>
      <c r="H15" s="38" t="e">
        <f>+Operacion!#REF!</f>
        <v>#REF!</v>
      </c>
      <c r="I15" s="42"/>
    </row>
    <row r="16" spans="2:13" ht="20.25" customHeight="1" thickBot="1">
      <c r="C16" s="42"/>
      <c r="D16" s="42"/>
      <c r="G16" s="42"/>
      <c r="I16" s="42"/>
    </row>
    <row r="17" spans="2:9" ht="21.6" thickBot="1">
      <c r="B17" s="13" t="s">
        <v>256</v>
      </c>
      <c r="C17" s="42"/>
      <c r="D17" s="42"/>
      <c r="E17" s="40" t="e">
        <f>+Operacion!#REF!</f>
        <v>#REF!</v>
      </c>
      <c r="F17" s="45"/>
      <c r="G17" s="42"/>
      <c r="I17" s="42"/>
    </row>
    <row r="18" spans="2:9" ht="20.25" customHeight="1" thickBot="1">
      <c r="C18" s="42"/>
      <c r="D18" s="42"/>
      <c r="G18" s="42"/>
      <c r="I18" s="42"/>
    </row>
    <row r="19" spans="2:9" ht="21.6" thickBot="1">
      <c r="B19" s="13" t="s">
        <v>257</v>
      </c>
      <c r="C19" s="42"/>
      <c r="D19" s="42"/>
      <c r="E19" s="40" t="e">
        <f>+Operacion!#REF!</f>
        <v>#REF!</v>
      </c>
      <c r="F19" s="45"/>
      <c r="G19" s="42"/>
      <c r="I19" s="42"/>
    </row>
    <row r="20" spans="2:9" ht="20.25" customHeight="1" thickBot="1">
      <c r="C20" s="42"/>
      <c r="D20" s="42"/>
      <c r="G20" s="42"/>
      <c r="I20" s="42"/>
    </row>
    <row r="21" spans="2:9" ht="20.25" customHeight="1">
      <c r="B21" s="13" t="s">
        <v>258</v>
      </c>
      <c r="C21" s="53"/>
      <c r="D21" s="53"/>
      <c r="E21" s="213" t="e">
        <f>+Operacion!#REF!</f>
        <v>#REF!</v>
      </c>
      <c r="F21" s="214"/>
      <c r="G21" s="214"/>
      <c r="H21" s="215"/>
      <c r="I21" s="42"/>
    </row>
    <row r="22" spans="2:9" ht="20.25" customHeight="1">
      <c r="C22" s="2"/>
      <c r="D22" s="2"/>
      <c r="E22" s="216"/>
      <c r="F22" s="217"/>
      <c r="G22" s="217"/>
      <c r="H22" s="218"/>
      <c r="I22" s="42"/>
    </row>
    <row r="23" spans="2:9" ht="20.25" customHeight="1" thickBot="1">
      <c r="C23" s="54"/>
      <c r="D23" s="54"/>
      <c r="E23" s="219"/>
      <c r="F23" s="220"/>
      <c r="G23" s="220"/>
      <c r="H23" s="221"/>
      <c r="I23" s="42"/>
    </row>
    <row r="24" spans="2:9" ht="20.25" customHeight="1" thickBot="1">
      <c r="C24" s="42"/>
      <c r="D24" s="42"/>
      <c r="E24" s="43"/>
      <c r="F24" s="42"/>
      <c r="G24" s="42"/>
      <c r="I24" s="42"/>
    </row>
    <row r="25" spans="2:9" ht="20.25" customHeight="1">
      <c r="B25" s="13" t="s">
        <v>259</v>
      </c>
      <c r="C25" s="53"/>
      <c r="D25" s="53"/>
      <c r="E25" s="213" t="e">
        <f>+Operacion!#REF!</f>
        <v>#REF!</v>
      </c>
      <c r="F25" s="214"/>
      <c r="G25" s="214"/>
      <c r="H25" s="215"/>
      <c r="I25" s="42"/>
    </row>
    <row r="26" spans="2:9" ht="20.25" customHeight="1" thickBot="1">
      <c r="B26" s="6"/>
      <c r="C26" s="55"/>
      <c r="D26" s="55"/>
      <c r="E26" s="219" t="e">
        <f>+Operacion!#REF!</f>
        <v>#REF!</v>
      </c>
      <c r="F26" s="220"/>
      <c r="G26" s="220"/>
      <c r="H26" s="221"/>
      <c r="I26" s="42"/>
    </row>
    <row r="27" spans="2:9" ht="20.25" customHeight="1" thickBot="1">
      <c r="B27" s="6"/>
      <c r="C27" s="42"/>
      <c r="D27" s="42"/>
      <c r="E27" s="56"/>
      <c r="F27" s="55"/>
      <c r="G27" s="42"/>
      <c r="I27" s="42"/>
    </row>
    <row r="28" spans="2:9" ht="20.25" customHeight="1">
      <c r="B28" s="13" t="s">
        <v>243</v>
      </c>
      <c r="C28" s="53"/>
      <c r="D28" s="53"/>
      <c r="E28" s="213" t="e">
        <f>+Operacion!#REF!</f>
        <v>#REF!</v>
      </c>
      <c r="F28" s="214"/>
      <c r="G28" s="214"/>
      <c r="H28" s="215"/>
      <c r="I28" s="42"/>
    </row>
    <row r="29" spans="2:9" ht="20.25" customHeight="1">
      <c r="C29" s="2"/>
      <c r="D29" s="2"/>
      <c r="E29" s="216"/>
      <c r="F29" s="217"/>
      <c r="G29" s="217"/>
      <c r="H29" s="218"/>
      <c r="I29" s="42"/>
    </row>
    <row r="30" spans="2:9" ht="20.25" customHeight="1" thickBot="1">
      <c r="C30" s="2"/>
      <c r="D30" s="2"/>
      <c r="E30" s="219"/>
      <c r="F30" s="220"/>
      <c r="G30" s="220"/>
      <c r="H30" s="221"/>
      <c r="I30" s="42"/>
    </row>
    <row r="31" spans="2:9" ht="20.25" customHeight="1" thickBot="1">
      <c r="B31" s="6"/>
      <c r="E31" s="56"/>
      <c r="F31" s="55"/>
      <c r="I31" s="42"/>
    </row>
    <row r="32" spans="2:9" ht="20.25" customHeight="1">
      <c r="B32" s="13" t="s">
        <v>259</v>
      </c>
      <c r="C32" s="53"/>
      <c r="D32" s="53"/>
      <c r="E32" s="213" t="e">
        <f>+Operacion!#REF!</f>
        <v>#REF!</v>
      </c>
      <c r="F32" s="214"/>
      <c r="G32" s="214"/>
      <c r="H32" s="215"/>
      <c r="I32" s="42"/>
    </row>
    <row r="33" spans="2:9" ht="20.25" customHeight="1" thickBot="1">
      <c r="B33" s="6"/>
      <c r="C33" s="55"/>
      <c r="D33" s="55"/>
      <c r="E33" s="219" t="e">
        <f>+Operacion!#REF!</f>
        <v>#REF!</v>
      </c>
      <c r="F33" s="220"/>
      <c r="G33" s="220"/>
      <c r="H33" s="221"/>
      <c r="I33" s="42"/>
    </row>
    <row r="34" spans="2:9" ht="20.25" customHeight="1" thickBot="1">
      <c r="B34" s="6"/>
      <c r="C34" s="42"/>
      <c r="D34" s="42"/>
      <c r="E34" s="56"/>
      <c r="F34" s="55"/>
      <c r="G34" s="42"/>
      <c r="I34" s="42"/>
    </row>
    <row r="35" spans="2:9" ht="20.25" customHeight="1">
      <c r="B35" s="13" t="s">
        <v>260</v>
      </c>
      <c r="C35" s="53"/>
      <c r="D35" s="53"/>
      <c r="E35" s="204" t="s">
        <v>265</v>
      </c>
      <c r="F35" s="205"/>
      <c r="G35" s="205"/>
      <c r="H35" s="206"/>
      <c r="I35" s="42"/>
    </row>
    <row r="36" spans="2:9" ht="20.25" customHeight="1">
      <c r="C36" s="54"/>
      <c r="D36" s="54"/>
      <c r="E36" s="207"/>
      <c r="F36" s="208"/>
      <c r="G36" s="208"/>
      <c r="H36" s="209"/>
      <c r="I36" s="42"/>
    </row>
    <row r="37" spans="2:9" ht="20.25" customHeight="1">
      <c r="C37" s="54"/>
      <c r="D37" s="54"/>
      <c r="E37" s="207"/>
      <c r="F37" s="208"/>
      <c r="G37" s="208"/>
      <c r="H37" s="209"/>
      <c r="I37" s="42"/>
    </row>
    <row r="38" spans="2:9" ht="20.25" customHeight="1" thickBot="1">
      <c r="C38" s="54"/>
      <c r="D38" s="54"/>
      <c r="E38" s="210"/>
      <c r="F38" s="211"/>
      <c r="G38" s="211"/>
      <c r="H38" s="212"/>
      <c r="I38" s="42"/>
    </row>
    <row r="39" spans="2:9">
      <c r="C39" s="42"/>
      <c r="D39" s="42"/>
      <c r="E39" s="43"/>
      <c r="F39" s="42"/>
      <c r="G39" s="42"/>
      <c r="I39" s="42"/>
    </row>
    <row r="40" spans="2:9">
      <c r="C40" s="42"/>
      <c r="D40" s="42"/>
      <c r="E40" s="43"/>
      <c r="F40" s="42"/>
      <c r="G40" s="42"/>
      <c r="I40" s="42"/>
    </row>
    <row r="41" spans="2:9">
      <c r="C41" s="42"/>
      <c r="D41" s="42"/>
      <c r="E41" s="43"/>
      <c r="F41" s="42"/>
      <c r="G41" s="42"/>
      <c r="I41" s="42"/>
    </row>
    <row r="42" spans="2:9">
      <c r="C42" s="42"/>
      <c r="D42" s="42"/>
      <c r="E42" s="43"/>
      <c r="F42" s="42"/>
      <c r="G42" s="42"/>
      <c r="I42" s="42"/>
    </row>
    <row r="43" spans="2:9">
      <c r="C43" s="42"/>
      <c r="D43" s="42"/>
      <c r="E43" s="43"/>
      <c r="F43" s="42"/>
      <c r="G43" s="42"/>
      <c r="I43" s="42"/>
    </row>
  </sheetData>
  <sheetProtection algorithmName="SHA-512" hashValue="HIUtE7PPTTqFCT5jPp14nCYptiu6ON3NcjEW2HLSpL2Xsk8Jx9IUxFP/Ax5yvJPhL8y820uxGJsC+/xnPnE/GA==" saltValue="coLnQsnQtbGvCYGPrIAyHA==" spinCount="100000" sheet="1" objects="1" scenarios="1"/>
  <dataConsolidate/>
  <mergeCells count="7">
    <mergeCell ref="E21:H23"/>
    <mergeCell ref="E28:H30"/>
    <mergeCell ref="E35:H38"/>
    <mergeCell ref="E25:H25"/>
    <mergeCell ref="E26:H26"/>
    <mergeCell ref="E32:H32"/>
    <mergeCell ref="E33:H33"/>
  </mergeCells>
  <dataValidations count="3">
    <dataValidation type="list" allowBlank="1" showInputMessage="1" showErrorMessage="1" sqref="E6" xr:uid="{00000000-0002-0000-2C00-000000000000}">
      <formula1>unidad</formula1>
    </dataValidation>
    <dataValidation type="list" allowBlank="1" showInputMessage="1" showErrorMessage="1" sqref="E10:F10 H13:H15" xr:uid="{00000000-0002-0000-2C00-000001000000}">
      <formula1>$D$2:$D$47</formula1>
    </dataValidation>
    <dataValidation type="list" allowBlank="1" showInputMessage="1" showErrorMessage="1" sqref="E13:F15" xr:uid="{00000000-0002-0000-2C00-000002000000}">
      <formula1>#REF!</formula1>
    </dataValidation>
  </dataValidations>
  <pageMargins left="0.28000000000000003" right="0.12" top="0.64" bottom="1" header="0" footer="0"/>
  <pageSetup paperSize="9" scale="53" orientation="portrait" horizontalDpi="4294967293" r:id="rId1"/>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C00-000003000000}">
          <x14:formula1>
            <xm:f>Verificador!$D$3:$D$8</xm:f>
          </x14:formula1>
          <xm:sqref>F17</xm:sqref>
        </x14:dataValidation>
        <x14:dataValidation type="list" allowBlank="1" showInputMessage="1" showErrorMessage="1" xr:uid="{00000000-0002-0000-2C00-000004000000}">
          <x14:formula1>
            <xm:f>Empresas!$C$2:$C$10</xm:f>
          </x14:formula1>
          <xm:sqref>E2:F2</xm:sqref>
        </x14:dataValidation>
        <x14:dataValidation type="list" allowBlank="1" showInputMessage="1" showErrorMessage="1" xr:uid="{00000000-0002-0000-2C00-000005000000}">
          <x14:formula1>
            <xm:f>Operador!$D$5:$D$7</xm:f>
          </x14:formula1>
          <xm:sqref>F19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10da59-0ee7-43d5-883c-696dd4545a55">
      <Terms xmlns="http://schemas.microsoft.com/office/infopath/2007/PartnerControls"/>
    </lcf76f155ced4ddcb4097134ff3c332f>
    <TaxCatchAll xmlns="ee86b452-6236-4403-b631-c7666198ad3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0823F66541D024782D492E613BAD7C3" ma:contentTypeVersion="13" ma:contentTypeDescription="Crear nuevo documento." ma:contentTypeScope="" ma:versionID="b1bdba65907339b9302633cc737d138d">
  <xsd:schema xmlns:xsd="http://www.w3.org/2001/XMLSchema" xmlns:xs="http://www.w3.org/2001/XMLSchema" xmlns:p="http://schemas.microsoft.com/office/2006/metadata/properties" xmlns:ns2="1e10da59-0ee7-43d5-883c-696dd4545a55" xmlns:ns3="ee86b452-6236-4403-b631-c7666198ad32" targetNamespace="http://schemas.microsoft.com/office/2006/metadata/properties" ma:root="true" ma:fieldsID="a3f1ab116a64f9442f72a81d93867a4b" ns2:_="" ns3:_="">
    <xsd:import namespace="1e10da59-0ee7-43d5-883c-696dd4545a55"/>
    <xsd:import namespace="ee86b452-6236-4403-b631-c7666198ad3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10da59-0ee7-43d5-883c-696dd4545a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ad45634-b09f-474f-a5e2-9d527c99c98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86b452-6236-4403-b631-c7666198ad3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fb308a7-0cf3-4c6c-953f-48683460d014}" ma:internalName="TaxCatchAll" ma:showField="CatchAllData" ma:web="ee86b452-6236-4403-b631-c7666198ad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6C5994-5C61-4E11-9E44-B4BCD0210ADB}"/>
</file>

<file path=customXml/itemProps2.xml><?xml version="1.0" encoding="utf-8"?>
<ds:datastoreItem xmlns:ds="http://schemas.openxmlformats.org/officeDocument/2006/customXml" ds:itemID="{BAE8B5E2-35B6-4939-AFD1-685BE0D46A45}"/>
</file>

<file path=customXml/itemProps3.xml><?xml version="1.0" encoding="utf-8"?>
<ds:datastoreItem xmlns:ds="http://schemas.openxmlformats.org/officeDocument/2006/customXml" ds:itemID="{1F08C944-FB93-4154-91CD-6443C0CF5F3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Dora</dc:creator>
  <cp:keywords/>
  <dc:description/>
  <cp:lastModifiedBy/>
  <cp:revision/>
  <dcterms:created xsi:type="dcterms:W3CDTF">2005-06-01T11:52:59Z</dcterms:created>
  <dcterms:modified xsi:type="dcterms:W3CDTF">2026-09-12T17:41:01Z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0x01010050823F66541D024782D492E613BAD7C3</vt:lpwstr>
  </property>
  <property fmtid="{D5CDD505-2E9C-101B-9397-08002B2CF9AE}" pid="3" name="MediaServiceImageTags">
    <vt:lpwstr/>
  </property>
</Properties>
</file>