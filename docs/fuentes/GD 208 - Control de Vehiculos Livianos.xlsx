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gruasdanielesrl.sharepoint.com/sites/FileServer/Documentos compartidos/03_OPERACIONES/ok/Control de Vehiculos Livianos/GD CONTROL VEHICULOS LIVIANOS/GD Control Vehiculos Livianos 2026/"/>
    </mc:Choice>
  </mc:AlternateContent>
  <xr:revisionPtr revIDLastSave="0" documentId="8_{FBDD45D4-F8CA-4920-8B14-7E945A0B87EB}" xr6:coauthVersionLast="47" xr6:coauthVersionMax="47" xr10:uidLastSave="{00000000-0000-0000-0000-000000000000}"/>
  <bookViews>
    <workbookView xWindow="-120" yWindow="-120" windowWidth="24240" windowHeight="13140" firstSheet="9" activeTab="9" xr2:uid="{00000000-000D-0000-FFFF-FFFF00000000}"/>
  </bookViews>
  <sheets>
    <sheet name="Dia (1)" sheetId="24" r:id="rId1"/>
    <sheet name="Dia (2)" sheetId="26" r:id="rId2"/>
    <sheet name="Dia (3)" sheetId="27" r:id="rId3"/>
    <sheet name="Dia (4)" sheetId="28" r:id="rId4"/>
    <sheet name="Dia (5)" sheetId="29" r:id="rId5"/>
    <sheet name="Dia (6)" sheetId="30" r:id="rId6"/>
    <sheet name="Dia (7)" sheetId="31" r:id="rId7"/>
    <sheet name="Dia (8)" sheetId="32" r:id="rId8"/>
    <sheet name="Dia (9)" sheetId="33" r:id="rId9"/>
    <sheet name="Dia (10)" sheetId="34" r:id="rId10"/>
    <sheet name="Dia (11)" sheetId="35" r:id="rId11"/>
    <sheet name="Dia (12)" sheetId="36" r:id="rId12"/>
    <sheet name="Dia (13)" sheetId="37" r:id="rId13"/>
    <sheet name="Dia (14)" sheetId="38" r:id="rId14"/>
    <sheet name="Dia (15)" sheetId="39" r:id="rId15"/>
    <sheet name="Dia (16)" sheetId="40" r:id="rId16"/>
    <sheet name="Dia (17)" sheetId="41" r:id="rId17"/>
    <sheet name="Dia (18)" sheetId="56" r:id="rId18"/>
    <sheet name="Dia (19)" sheetId="68" r:id="rId19"/>
    <sheet name="Dia (20)" sheetId="69" r:id="rId20"/>
    <sheet name="Dia (21)" sheetId="70" r:id="rId21"/>
    <sheet name="Dia (22)" sheetId="71" r:id="rId22"/>
    <sheet name="Dia (23)" sheetId="72" r:id="rId23"/>
    <sheet name="Dia (24)" sheetId="73" r:id="rId24"/>
    <sheet name="Dia (25)" sheetId="74" r:id="rId25"/>
    <sheet name="Dia (26)" sheetId="75" r:id="rId26"/>
    <sheet name="Dia (27)" sheetId="76" r:id="rId27"/>
    <sheet name="Dia (28)" sheetId="77" r:id="rId28"/>
    <sheet name="Dia (29)" sheetId="78" r:id="rId29"/>
    <sheet name="Dia (30)" sheetId="79" r:id="rId30"/>
    <sheet name="Dia (31)" sheetId="80" r:id="rId31"/>
    <sheet name="Empresas" sheetId="1" r:id="rId32"/>
    <sheet name="Personal" sheetId="2" r:id="rId33"/>
    <sheet name="Unidades" sheetId="8" r:id="rId34"/>
  </sheets>
  <externalReferences>
    <externalReference r:id="rId35"/>
    <externalReference r:id="rId36"/>
  </externalReferences>
  <definedNames>
    <definedName name="a" localSheetId="0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23">#REF!</definedName>
    <definedName name="a" localSheetId="24">#REF!</definedName>
    <definedName name="a" localSheetId="25">#REF!</definedName>
    <definedName name="a" localSheetId="26">#REF!</definedName>
    <definedName name="a" localSheetId="27">#REF!</definedName>
    <definedName name="a" localSheetId="28">#REF!</definedName>
    <definedName name="a" localSheetId="2">#REF!</definedName>
    <definedName name="a" localSheetId="29">#REF!</definedName>
    <definedName name="a" localSheetId="30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>#REF!</definedName>
    <definedName name="aa" localSheetId="0">#REF!</definedName>
    <definedName name="aa" localSheetId="9">#REF!</definedName>
    <definedName name="aa" localSheetId="10">#REF!</definedName>
    <definedName name="aa" localSheetId="11">#REF!</definedName>
    <definedName name="aa" localSheetId="12">#REF!</definedName>
    <definedName name="aa" localSheetId="13">#REF!</definedName>
    <definedName name="aa" localSheetId="14">#REF!</definedName>
    <definedName name="aa" localSheetId="15">#REF!</definedName>
    <definedName name="aa" localSheetId="16">#REF!</definedName>
    <definedName name="aa" localSheetId="17">#REF!</definedName>
    <definedName name="aa" localSheetId="18">#REF!</definedName>
    <definedName name="aa" localSheetId="1">#REF!</definedName>
    <definedName name="aa" localSheetId="19">#REF!</definedName>
    <definedName name="aa" localSheetId="20">#REF!</definedName>
    <definedName name="aa" localSheetId="21">#REF!</definedName>
    <definedName name="aa" localSheetId="22">#REF!</definedName>
    <definedName name="aa" localSheetId="23">#REF!</definedName>
    <definedName name="aa" localSheetId="24">#REF!</definedName>
    <definedName name="aa" localSheetId="25">#REF!</definedName>
    <definedName name="aa" localSheetId="26">#REF!</definedName>
    <definedName name="aa" localSheetId="27">#REF!</definedName>
    <definedName name="aa" localSheetId="28">#REF!</definedName>
    <definedName name="aa" localSheetId="2">#REF!</definedName>
    <definedName name="aa" localSheetId="29">#REF!</definedName>
    <definedName name="aa" localSheetId="30">#REF!</definedName>
    <definedName name="aa" localSheetId="3">#REF!</definedName>
    <definedName name="aa" localSheetId="4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>#REF!</definedName>
    <definedName name="aaaaa" localSheetId="0">#REF!</definedName>
    <definedName name="aaaaa" localSheetId="9">#REF!</definedName>
    <definedName name="aaaaa" localSheetId="10">#REF!</definedName>
    <definedName name="aaaaa" localSheetId="11">#REF!</definedName>
    <definedName name="aaaaa" localSheetId="12">#REF!</definedName>
    <definedName name="aaaaa" localSheetId="13">#REF!</definedName>
    <definedName name="aaaaa" localSheetId="14">#REF!</definedName>
    <definedName name="aaaaa" localSheetId="15">#REF!</definedName>
    <definedName name="aaaaa" localSheetId="16">#REF!</definedName>
    <definedName name="aaaaa" localSheetId="17">#REF!</definedName>
    <definedName name="aaaaa" localSheetId="18">#REF!</definedName>
    <definedName name="aaaaa" localSheetId="1">#REF!</definedName>
    <definedName name="aaaaa" localSheetId="19">#REF!</definedName>
    <definedName name="aaaaa" localSheetId="20">#REF!</definedName>
    <definedName name="aaaaa" localSheetId="21">#REF!</definedName>
    <definedName name="aaaaa" localSheetId="22">#REF!</definedName>
    <definedName name="aaaaa" localSheetId="23">#REF!</definedName>
    <definedName name="aaaaa" localSheetId="24">#REF!</definedName>
    <definedName name="aaaaa" localSheetId="25">#REF!</definedName>
    <definedName name="aaaaa" localSheetId="26">#REF!</definedName>
    <definedName name="aaaaa" localSheetId="27">#REF!</definedName>
    <definedName name="aaaaa" localSheetId="28">#REF!</definedName>
    <definedName name="aaaaa" localSheetId="2">#REF!</definedName>
    <definedName name="aaaaa" localSheetId="29">#REF!</definedName>
    <definedName name="aaaaa" localSheetId="30">#REF!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7">#REF!</definedName>
    <definedName name="aaaaa" localSheetId="8">#REF!</definedName>
    <definedName name="aaaaa">#REF!</definedName>
    <definedName name="ddd" localSheetId="0">Empresas!#REF!</definedName>
    <definedName name="ddd" localSheetId="9">Empresas!#REF!</definedName>
    <definedName name="ddd" localSheetId="10">Empresas!#REF!</definedName>
    <definedName name="ddd" localSheetId="11">Empresas!#REF!</definedName>
    <definedName name="ddd" localSheetId="12">Empresas!#REF!</definedName>
    <definedName name="ddd" localSheetId="13">Empresas!#REF!</definedName>
    <definedName name="ddd" localSheetId="14">Empresas!#REF!</definedName>
    <definedName name="ddd" localSheetId="15">Empresas!#REF!</definedName>
    <definedName name="ddd" localSheetId="16">Empresas!#REF!</definedName>
    <definedName name="ddd" localSheetId="17">Empresas!#REF!</definedName>
    <definedName name="ddd" localSheetId="18">Empresas!#REF!</definedName>
    <definedName name="ddd" localSheetId="1">Empresas!#REF!</definedName>
    <definedName name="ddd" localSheetId="19">Empresas!#REF!</definedName>
    <definedName name="ddd" localSheetId="20">Empresas!#REF!</definedName>
    <definedName name="ddd" localSheetId="21">Empresas!#REF!</definedName>
    <definedName name="ddd" localSheetId="22">Empresas!#REF!</definedName>
    <definedName name="ddd" localSheetId="23">Empresas!#REF!</definedName>
    <definedName name="ddd" localSheetId="24">Empresas!#REF!</definedName>
    <definedName name="ddd" localSheetId="25">Empresas!#REF!</definedName>
    <definedName name="ddd" localSheetId="26">Empresas!#REF!</definedName>
    <definedName name="ddd" localSheetId="27">Empresas!#REF!</definedName>
    <definedName name="ddd" localSheetId="28">Empresas!#REF!</definedName>
    <definedName name="ddd" localSheetId="2">Empresas!#REF!</definedName>
    <definedName name="ddd" localSheetId="29">Empresas!#REF!</definedName>
    <definedName name="ddd" localSheetId="30">Empresas!#REF!</definedName>
    <definedName name="ddd" localSheetId="3">Empresas!#REF!</definedName>
    <definedName name="ddd" localSheetId="4">Empresas!#REF!</definedName>
    <definedName name="ddd" localSheetId="5">Empresas!#REF!</definedName>
    <definedName name="ddd" localSheetId="6">Empresas!#REF!</definedName>
    <definedName name="ddd" localSheetId="7">Empresas!#REF!</definedName>
    <definedName name="ddd" localSheetId="8">Empresas!#REF!</definedName>
    <definedName name="ddd" localSheetId="32">[1]Empresas!#REF!</definedName>
    <definedName name="ddd">Empresas!#REF!</definedName>
    <definedName name="equipos" localSheetId="0">#REF!</definedName>
    <definedName name="equipos" localSheetId="9">#REF!</definedName>
    <definedName name="equipos" localSheetId="10">#REF!</definedName>
    <definedName name="equipos" localSheetId="11">#REF!</definedName>
    <definedName name="equipos" localSheetId="12">#REF!</definedName>
    <definedName name="equipos" localSheetId="13">#REF!</definedName>
    <definedName name="equipos" localSheetId="14">#REF!</definedName>
    <definedName name="equipos" localSheetId="15">#REF!</definedName>
    <definedName name="equipos" localSheetId="16">#REF!</definedName>
    <definedName name="equipos" localSheetId="17">#REF!</definedName>
    <definedName name="equipos" localSheetId="18">#REF!</definedName>
    <definedName name="equipos" localSheetId="1">#REF!</definedName>
    <definedName name="equipos" localSheetId="19">#REF!</definedName>
    <definedName name="equipos" localSheetId="20">#REF!</definedName>
    <definedName name="equipos" localSheetId="21">#REF!</definedName>
    <definedName name="equipos" localSheetId="22">#REF!</definedName>
    <definedName name="equipos" localSheetId="23">#REF!</definedName>
    <definedName name="equipos" localSheetId="24">#REF!</definedName>
    <definedName name="equipos" localSheetId="25">#REF!</definedName>
    <definedName name="equipos" localSheetId="26">#REF!</definedName>
    <definedName name="equipos" localSheetId="27">#REF!</definedName>
    <definedName name="equipos" localSheetId="28">#REF!</definedName>
    <definedName name="equipos" localSheetId="2">#REF!</definedName>
    <definedName name="equipos" localSheetId="29">#REF!</definedName>
    <definedName name="equipos" localSheetId="30">#REF!</definedName>
    <definedName name="equipos" localSheetId="3">#REF!</definedName>
    <definedName name="equipos" localSheetId="4">#REF!</definedName>
    <definedName name="equipos" localSheetId="5">#REF!</definedName>
    <definedName name="equipos" localSheetId="6">#REF!</definedName>
    <definedName name="equipos" localSheetId="7">#REF!</definedName>
    <definedName name="equipos" localSheetId="8">#REF!</definedName>
    <definedName name="equipos">#REF!</definedName>
    <definedName name="estado" localSheetId="32">[1]Empresas!$A$17:$A$20</definedName>
    <definedName name="estado">Empresas!$A$15:$C$18</definedName>
    <definedName name="lugar" localSheetId="0">#REF!</definedName>
    <definedName name="lugar" localSheetId="9">#REF!</definedName>
    <definedName name="lugar" localSheetId="10">#REF!</definedName>
    <definedName name="lugar" localSheetId="11">#REF!</definedName>
    <definedName name="lugar" localSheetId="12">#REF!</definedName>
    <definedName name="lugar" localSheetId="13">#REF!</definedName>
    <definedName name="lugar" localSheetId="14">#REF!</definedName>
    <definedName name="lugar" localSheetId="15">#REF!</definedName>
    <definedName name="lugar" localSheetId="16">#REF!</definedName>
    <definedName name="lugar" localSheetId="17">#REF!</definedName>
    <definedName name="lugar" localSheetId="18">#REF!</definedName>
    <definedName name="lugar" localSheetId="1">#REF!</definedName>
    <definedName name="lugar" localSheetId="19">#REF!</definedName>
    <definedName name="lugar" localSheetId="20">#REF!</definedName>
    <definedName name="lugar" localSheetId="21">#REF!</definedName>
    <definedName name="lugar" localSheetId="22">#REF!</definedName>
    <definedName name="lugar" localSheetId="23">#REF!</definedName>
    <definedName name="lugar" localSheetId="24">#REF!</definedName>
    <definedName name="lugar" localSheetId="25">#REF!</definedName>
    <definedName name="lugar" localSheetId="26">#REF!</definedName>
    <definedName name="lugar" localSheetId="27">#REF!</definedName>
    <definedName name="lugar" localSheetId="28">#REF!</definedName>
    <definedName name="lugar" localSheetId="2">#REF!</definedName>
    <definedName name="lugar" localSheetId="29">#REF!</definedName>
    <definedName name="lugar" localSheetId="30">#REF!</definedName>
    <definedName name="lugar" localSheetId="3">#REF!</definedName>
    <definedName name="lugar" localSheetId="4">#REF!</definedName>
    <definedName name="lugar" localSheetId="5">#REF!</definedName>
    <definedName name="lugar" localSheetId="6">#REF!</definedName>
    <definedName name="lugar" localSheetId="7">#REF!</definedName>
    <definedName name="lugar" localSheetId="8">#REF!</definedName>
    <definedName name="lugar">#REF!</definedName>
    <definedName name="status" localSheetId="0">Empresas!#REF!</definedName>
    <definedName name="status" localSheetId="9">Empresas!#REF!</definedName>
    <definedName name="status" localSheetId="10">Empresas!#REF!</definedName>
    <definedName name="status" localSheetId="11">Empresas!#REF!</definedName>
    <definedName name="status" localSheetId="12">Empresas!#REF!</definedName>
    <definedName name="status" localSheetId="13">Empresas!#REF!</definedName>
    <definedName name="status" localSheetId="14">Empresas!#REF!</definedName>
    <definedName name="status" localSheetId="15">Empresas!#REF!</definedName>
    <definedName name="status" localSheetId="16">Empresas!#REF!</definedName>
    <definedName name="status" localSheetId="17">Empresas!#REF!</definedName>
    <definedName name="status" localSheetId="18">Empresas!#REF!</definedName>
    <definedName name="status" localSheetId="1">Empresas!#REF!</definedName>
    <definedName name="status" localSheetId="19">Empresas!#REF!</definedName>
    <definedName name="status" localSheetId="20">Empresas!#REF!</definedName>
    <definedName name="status" localSheetId="21">Empresas!#REF!</definedName>
    <definedName name="status" localSheetId="22">Empresas!#REF!</definedName>
    <definedName name="status" localSheetId="23">Empresas!#REF!</definedName>
    <definedName name="status" localSheetId="24">Empresas!#REF!</definedName>
    <definedName name="status" localSheetId="25">Empresas!#REF!</definedName>
    <definedName name="status" localSheetId="26">Empresas!#REF!</definedName>
    <definedName name="status" localSheetId="27">Empresas!#REF!</definedName>
    <definedName name="status" localSheetId="28">Empresas!#REF!</definedName>
    <definedName name="status" localSheetId="2">Empresas!#REF!</definedName>
    <definedName name="status" localSheetId="29">Empresas!#REF!</definedName>
    <definedName name="status" localSheetId="30">Empresas!#REF!</definedName>
    <definedName name="status" localSheetId="3">Empresas!#REF!</definedName>
    <definedName name="status" localSheetId="4">Empresas!#REF!</definedName>
    <definedName name="status" localSheetId="5">Empresas!#REF!</definedName>
    <definedName name="status" localSheetId="6">Empresas!#REF!</definedName>
    <definedName name="status" localSheetId="7">Empresas!#REF!</definedName>
    <definedName name="status" localSheetId="8">Empresas!#REF!</definedName>
    <definedName name="status" localSheetId="32">[1]Empresas!#REF!</definedName>
    <definedName name="status">Empresas!#REF!</definedName>
    <definedName name="tablacarga" localSheetId="0">#REF!</definedName>
    <definedName name="tablacarga" localSheetId="9">#REF!</definedName>
    <definedName name="tablacarga" localSheetId="10">#REF!</definedName>
    <definedName name="tablacarga" localSheetId="11">#REF!</definedName>
    <definedName name="tablacarga" localSheetId="12">#REF!</definedName>
    <definedName name="tablacarga" localSheetId="13">#REF!</definedName>
    <definedName name="tablacarga" localSheetId="14">#REF!</definedName>
    <definedName name="tablacarga" localSheetId="15">#REF!</definedName>
    <definedName name="tablacarga" localSheetId="16">#REF!</definedName>
    <definedName name="tablacarga" localSheetId="17">#REF!</definedName>
    <definedName name="tablacarga" localSheetId="18">#REF!</definedName>
    <definedName name="tablacarga" localSheetId="1">#REF!</definedName>
    <definedName name="tablacarga" localSheetId="19">#REF!</definedName>
    <definedName name="tablacarga" localSheetId="20">#REF!</definedName>
    <definedName name="tablacarga" localSheetId="21">#REF!</definedName>
    <definedName name="tablacarga" localSheetId="22">#REF!</definedName>
    <definedName name="tablacarga" localSheetId="23">#REF!</definedName>
    <definedName name="tablacarga" localSheetId="24">#REF!</definedName>
    <definedName name="tablacarga" localSheetId="25">#REF!</definedName>
    <definedName name="tablacarga" localSheetId="26">#REF!</definedName>
    <definedName name="tablacarga" localSheetId="27">#REF!</definedName>
    <definedName name="tablacarga" localSheetId="28">#REF!</definedName>
    <definedName name="tablacarga" localSheetId="2">#REF!</definedName>
    <definedName name="tablacarga" localSheetId="29">#REF!</definedName>
    <definedName name="tablacarga" localSheetId="30">#REF!</definedName>
    <definedName name="tablacarga" localSheetId="3">#REF!</definedName>
    <definedName name="tablacarga" localSheetId="4">#REF!</definedName>
    <definedName name="tablacarga" localSheetId="5">#REF!</definedName>
    <definedName name="tablacarga" localSheetId="6">#REF!</definedName>
    <definedName name="tablacarga" localSheetId="7">#REF!</definedName>
    <definedName name="tablacarga" localSheetId="8">#REF!</definedName>
    <definedName name="tablacarga" localSheetId="32">#REF!</definedName>
    <definedName name="tablacarga">#REF!</definedName>
    <definedName name="tablaequipo">[1]Equipos!$B$2:$G$80</definedName>
    <definedName name="tablaequipos" localSheetId="0">#REF!</definedName>
    <definedName name="tablaequipos" localSheetId="9">#REF!</definedName>
    <definedName name="tablaequipos" localSheetId="10">#REF!</definedName>
    <definedName name="tablaequipos" localSheetId="11">#REF!</definedName>
    <definedName name="tablaequipos" localSheetId="12">#REF!</definedName>
    <definedName name="tablaequipos" localSheetId="13">#REF!</definedName>
    <definedName name="tablaequipos" localSheetId="14">#REF!</definedName>
    <definedName name="tablaequipos" localSheetId="15">#REF!</definedName>
    <definedName name="tablaequipos" localSheetId="16">#REF!</definedName>
    <definedName name="tablaequipos" localSheetId="17">#REF!</definedName>
    <definedName name="tablaequipos" localSheetId="18">#REF!</definedName>
    <definedName name="tablaequipos" localSheetId="1">#REF!</definedName>
    <definedName name="tablaequipos" localSheetId="19">#REF!</definedName>
    <definedName name="tablaequipos" localSheetId="20">#REF!</definedName>
    <definedName name="tablaequipos" localSheetId="21">#REF!</definedName>
    <definedName name="tablaequipos" localSheetId="22">#REF!</definedName>
    <definedName name="tablaequipos" localSheetId="23">#REF!</definedName>
    <definedName name="tablaequipos" localSheetId="24">#REF!</definedName>
    <definedName name="tablaequipos" localSheetId="25">#REF!</definedName>
    <definedName name="tablaequipos" localSheetId="26">#REF!</definedName>
    <definedName name="tablaequipos" localSheetId="27">#REF!</definedName>
    <definedName name="tablaequipos" localSheetId="28">#REF!</definedName>
    <definedName name="tablaequipos" localSheetId="2">#REF!</definedName>
    <definedName name="tablaequipos" localSheetId="29">#REF!</definedName>
    <definedName name="tablaequipos" localSheetId="30">#REF!</definedName>
    <definedName name="tablaequipos" localSheetId="3">#REF!</definedName>
    <definedName name="tablaequipos" localSheetId="4">#REF!</definedName>
    <definedName name="tablaequipos" localSheetId="5">#REF!</definedName>
    <definedName name="tablaequipos" localSheetId="6">#REF!</definedName>
    <definedName name="tablaequipos" localSheetId="7">#REF!</definedName>
    <definedName name="tablaequipos" localSheetId="8">#REF!</definedName>
    <definedName name="tablaequipos" localSheetId="32">#REF!</definedName>
    <definedName name="tablaequipos">#REF!</definedName>
    <definedName name="tablaestado" localSheetId="0">Empresas!#REF!</definedName>
    <definedName name="tablaestado" localSheetId="9">Empresas!#REF!</definedName>
    <definedName name="tablaestado" localSheetId="10">Empresas!#REF!</definedName>
    <definedName name="tablaestado" localSheetId="11">Empresas!#REF!</definedName>
    <definedName name="tablaestado" localSheetId="12">Empresas!#REF!</definedName>
    <definedName name="tablaestado" localSheetId="13">Empresas!#REF!</definedName>
    <definedName name="tablaestado" localSheetId="14">Empresas!#REF!</definedName>
    <definedName name="tablaestado" localSheetId="15">Empresas!#REF!</definedName>
    <definedName name="tablaestado" localSheetId="16">Empresas!#REF!</definedName>
    <definedName name="tablaestado" localSheetId="17">Empresas!#REF!</definedName>
    <definedName name="tablaestado" localSheetId="18">Empresas!#REF!</definedName>
    <definedName name="tablaestado" localSheetId="1">Empresas!#REF!</definedName>
    <definedName name="tablaestado" localSheetId="19">Empresas!#REF!</definedName>
    <definedName name="tablaestado" localSheetId="20">Empresas!#REF!</definedName>
    <definedName name="tablaestado" localSheetId="21">Empresas!#REF!</definedName>
    <definedName name="tablaestado" localSheetId="22">Empresas!#REF!</definedName>
    <definedName name="tablaestado" localSheetId="23">Empresas!#REF!</definedName>
    <definedName name="tablaestado" localSheetId="24">Empresas!#REF!</definedName>
    <definedName name="tablaestado" localSheetId="25">Empresas!#REF!</definedName>
    <definedName name="tablaestado" localSheetId="26">Empresas!#REF!</definedName>
    <definedName name="tablaestado" localSheetId="27">Empresas!#REF!</definedName>
    <definedName name="tablaestado" localSheetId="28">Empresas!#REF!</definedName>
    <definedName name="tablaestado" localSheetId="2">Empresas!#REF!</definedName>
    <definedName name="tablaestado" localSheetId="29">Empresas!#REF!</definedName>
    <definedName name="tablaestado" localSheetId="30">Empresas!#REF!</definedName>
    <definedName name="tablaestado" localSheetId="3">Empresas!#REF!</definedName>
    <definedName name="tablaestado" localSheetId="4">Empresas!#REF!</definedName>
    <definedName name="tablaestado" localSheetId="5">Empresas!#REF!</definedName>
    <definedName name="tablaestado" localSheetId="6">Empresas!#REF!</definedName>
    <definedName name="tablaestado" localSheetId="7">Empresas!#REF!</definedName>
    <definedName name="tablaestado" localSheetId="8">Empresas!#REF!</definedName>
    <definedName name="tablaestado" localSheetId="32">[1]Empresas!$A$17:$C$20</definedName>
    <definedName name="tablaestado">Empresas!#REF!</definedName>
    <definedName name="tablaeuipos" localSheetId="0">#REF!</definedName>
    <definedName name="tablaeuipos" localSheetId="9">#REF!</definedName>
    <definedName name="tablaeuipos" localSheetId="10">#REF!</definedName>
    <definedName name="tablaeuipos" localSheetId="11">#REF!</definedName>
    <definedName name="tablaeuipos" localSheetId="12">#REF!</definedName>
    <definedName name="tablaeuipos" localSheetId="13">#REF!</definedName>
    <definedName name="tablaeuipos" localSheetId="14">#REF!</definedName>
    <definedName name="tablaeuipos" localSheetId="15">#REF!</definedName>
    <definedName name="tablaeuipos" localSheetId="16">#REF!</definedName>
    <definedName name="tablaeuipos" localSheetId="17">#REF!</definedName>
    <definedName name="tablaeuipos" localSheetId="18">#REF!</definedName>
    <definedName name="tablaeuipos" localSheetId="1">#REF!</definedName>
    <definedName name="tablaeuipos" localSheetId="19">#REF!</definedName>
    <definedName name="tablaeuipos" localSheetId="20">#REF!</definedName>
    <definedName name="tablaeuipos" localSheetId="21">#REF!</definedName>
    <definedName name="tablaeuipos" localSheetId="22">#REF!</definedName>
    <definedName name="tablaeuipos" localSheetId="23">#REF!</definedName>
    <definedName name="tablaeuipos" localSheetId="24">#REF!</definedName>
    <definedName name="tablaeuipos" localSheetId="25">#REF!</definedName>
    <definedName name="tablaeuipos" localSheetId="26">#REF!</definedName>
    <definedName name="tablaeuipos" localSheetId="27">#REF!</definedName>
    <definedName name="tablaeuipos" localSheetId="28">#REF!</definedName>
    <definedName name="tablaeuipos" localSheetId="2">#REF!</definedName>
    <definedName name="tablaeuipos" localSheetId="29">#REF!</definedName>
    <definedName name="tablaeuipos" localSheetId="30">#REF!</definedName>
    <definedName name="tablaeuipos" localSheetId="3">#REF!</definedName>
    <definedName name="tablaeuipos" localSheetId="4">#REF!</definedName>
    <definedName name="tablaeuipos" localSheetId="5">#REF!</definedName>
    <definedName name="tablaeuipos" localSheetId="6">#REF!</definedName>
    <definedName name="tablaeuipos" localSheetId="7">#REF!</definedName>
    <definedName name="tablaeuipos" localSheetId="8">#REF!</definedName>
    <definedName name="tablaeuipos">#REF!</definedName>
    <definedName name="tablaperdsonal" localSheetId="0">#REF!</definedName>
    <definedName name="tablaperdsonal" localSheetId="9">#REF!</definedName>
    <definedName name="tablaperdsonal" localSheetId="10">#REF!</definedName>
    <definedName name="tablaperdsonal" localSheetId="11">#REF!</definedName>
    <definedName name="tablaperdsonal" localSheetId="12">#REF!</definedName>
    <definedName name="tablaperdsonal" localSheetId="13">#REF!</definedName>
    <definedName name="tablaperdsonal" localSheetId="14">#REF!</definedName>
    <definedName name="tablaperdsonal" localSheetId="15">#REF!</definedName>
    <definedName name="tablaperdsonal" localSheetId="16">#REF!</definedName>
    <definedName name="tablaperdsonal" localSheetId="17">#REF!</definedName>
    <definedName name="tablaperdsonal" localSheetId="18">#REF!</definedName>
    <definedName name="tablaperdsonal" localSheetId="1">#REF!</definedName>
    <definedName name="tablaperdsonal" localSheetId="19">#REF!</definedName>
    <definedName name="tablaperdsonal" localSheetId="20">#REF!</definedName>
    <definedName name="tablaperdsonal" localSheetId="21">#REF!</definedName>
    <definedName name="tablaperdsonal" localSheetId="22">#REF!</definedName>
    <definedName name="tablaperdsonal" localSheetId="23">#REF!</definedName>
    <definedName name="tablaperdsonal" localSheetId="24">#REF!</definedName>
    <definedName name="tablaperdsonal" localSheetId="25">#REF!</definedName>
    <definedName name="tablaperdsonal" localSheetId="26">#REF!</definedName>
    <definedName name="tablaperdsonal" localSheetId="27">#REF!</definedName>
    <definedName name="tablaperdsonal" localSheetId="28">#REF!</definedName>
    <definedName name="tablaperdsonal" localSheetId="2">#REF!</definedName>
    <definedName name="tablaperdsonal" localSheetId="29">#REF!</definedName>
    <definedName name="tablaperdsonal" localSheetId="30">#REF!</definedName>
    <definedName name="tablaperdsonal" localSheetId="3">#REF!</definedName>
    <definedName name="tablaperdsonal" localSheetId="4">#REF!</definedName>
    <definedName name="tablaperdsonal" localSheetId="5">#REF!</definedName>
    <definedName name="tablaperdsonal" localSheetId="6">#REF!</definedName>
    <definedName name="tablaperdsonal" localSheetId="7">#REF!</definedName>
    <definedName name="tablaperdsonal" localSheetId="8">#REF!</definedName>
    <definedName name="tablaperdsonal">#REF!</definedName>
    <definedName name="tablapermiso">[1]Empresas!$A$24:$C$27</definedName>
    <definedName name="tablapersonal" localSheetId="32">Personal!$D$2:$G$66</definedName>
    <definedName name="tablapersonal">[2]Personal!$D$2:$H$52</definedName>
    <definedName name="tablastatus" localSheetId="0">Empresas!#REF!</definedName>
    <definedName name="tablastatus" localSheetId="9">Empresas!#REF!</definedName>
    <definedName name="tablastatus" localSheetId="10">Empresas!#REF!</definedName>
    <definedName name="tablastatus" localSheetId="11">Empresas!#REF!</definedName>
    <definedName name="tablastatus" localSheetId="12">Empresas!#REF!</definedName>
    <definedName name="tablastatus" localSheetId="13">Empresas!#REF!</definedName>
    <definedName name="tablastatus" localSheetId="14">Empresas!#REF!</definedName>
    <definedName name="tablastatus" localSheetId="15">Empresas!#REF!</definedName>
    <definedName name="tablastatus" localSheetId="16">Empresas!#REF!</definedName>
    <definedName name="tablastatus" localSheetId="17">Empresas!#REF!</definedName>
    <definedName name="tablastatus" localSheetId="18">Empresas!#REF!</definedName>
    <definedName name="tablastatus" localSheetId="1">Empresas!#REF!</definedName>
    <definedName name="tablastatus" localSheetId="19">Empresas!#REF!</definedName>
    <definedName name="tablastatus" localSheetId="20">Empresas!#REF!</definedName>
    <definedName name="tablastatus" localSheetId="21">Empresas!#REF!</definedName>
    <definedName name="tablastatus" localSheetId="22">Empresas!#REF!</definedName>
    <definedName name="tablastatus" localSheetId="23">Empresas!#REF!</definedName>
    <definedName name="tablastatus" localSheetId="24">Empresas!#REF!</definedName>
    <definedName name="tablastatus" localSheetId="25">Empresas!#REF!</definedName>
    <definedName name="tablastatus" localSheetId="26">Empresas!#REF!</definedName>
    <definedName name="tablastatus" localSheetId="27">Empresas!#REF!</definedName>
    <definedName name="tablastatus" localSheetId="28">Empresas!#REF!</definedName>
    <definedName name="tablastatus" localSheetId="2">Empresas!#REF!</definedName>
    <definedName name="tablastatus" localSheetId="29">Empresas!#REF!</definedName>
    <definedName name="tablastatus" localSheetId="30">Empresas!#REF!</definedName>
    <definedName name="tablastatus" localSheetId="3">Empresas!#REF!</definedName>
    <definedName name="tablastatus" localSheetId="4">Empresas!#REF!</definedName>
    <definedName name="tablastatus" localSheetId="5">Empresas!#REF!</definedName>
    <definedName name="tablastatus" localSheetId="6">Empresas!#REF!</definedName>
    <definedName name="tablastatus" localSheetId="7">Empresas!#REF!</definedName>
    <definedName name="tablastatus" localSheetId="8">Empresas!#REF!</definedName>
    <definedName name="tablastatus" localSheetId="32">[1]Empresas!#REF!</definedName>
    <definedName name="tablastatus">Empresas!#REF!</definedName>
    <definedName name="tablatipo">[1]Equipos!$A$112:$B$114</definedName>
    <definedName name="tablatractor">[1]Equipos!$B$96:$G$100</definedName>
    <definedName name="tablatransporte">[1]Equipos!$A$106:$B$110</definedName>
    <definedName name="tipotrasnporte" localSheetId="0">#REF!</definedName>
    <definedName name="tipotrasnporte" localSheetId="9">#REF!</definedName>
    <definedName name="tipotrasnporte" localSheetId="10">#REF!</definedName>
    <definedName name="tipotrasnporte" localSheetId="11">#REF!</definedName>
    <definedName name="tipotrasnporte" localSheetId="12">#REF!</definedName>
    <definedName name="tipotrasnporte" localSheetId="13">#REF!</definedName>
    <definedName name="tipotrasnporte" localSheetId="14">#REF!</definedName>
    <definedName name="tipotrasnporte" localSheetId="15">#REF!</definedName>
    <definedName name="tipotrasnporte" localSheetId="16">#REF!</definedName>
    <definedName name="tipotrasnporte" localSheetId="17">#REF!</definedName>
    <definedName name="tipotrasnporte" localSheetId="18">#REF!</definedName>
    <definedName name="tipotrasnporte" localSheetId="1">#REF!</definedName>
    <definedName name="tipotrasnporte" localSheetId="19">#REF!</definedName>
    <definedName name="tipotrasnporte" localSheetId="20">#REF!</definedName>
    <definedName name="tipotrasnporte" localSheetId="21">#REF!</definedName>
    <definedName name="tipotrasnporte" localSheetId="22">#REF!</definedName>
    <definedName name="tipotrasnporte" localSheetId="23">#REF!</definedName>
    <definedName name="tipotrasnporte" localSheetId="24">#REF!</definedName>
    <definedName name="tipotrasnporte" localSheetId="25">#REF!</definedName>
    <definedName name="tipotrasnporte" localSheetId="26">#REF!</definedName>
    <definedName name="tipotrasnporte" localSheetId="27">#REF!</definedName>
    <definedName name="tipotrasnporte" localSheetId="28">#REF!</definedName>
    <definedName name="tipotrasnporte" localSheetId="2">#REF!</definedName>
    <definedName name="tipotrasnporte" localSheetId="29">#REF!</definedName>
    <definedName name="tipotrasnporte" localSheetId="30">#REF!</definedName>
    <definedName name="tipotrasnporte" localSheetId="3">#REF!</definedName>
    <definedName name="tipotrasnporte" localSheetId="4">#REF!</definedName>
    <definedName name="tipotrasnporte" localSheetId="5">#REF!</definedName>
    <definedName name="tipotrasnporte" localSheetId="6">#REF!</definedName>
    <definedName name="tipotrasnporte" localSheetId="7">#REF!</definedName>
    <definedName name="tipotrasnporte" localSheetId="8">#REF!</definedName>
    <definedName name="tipotrasnporte" localSheetId="32">#REF!</definedName>
    <definedName name="tipotrasnporte">#REF!</definedName>
    <definedName name="transporte" localSheetId="0">#REF!</definedName>
    <definedName name="transporte" localSheetId="9">#REF!</definedName>
    <definedName name="transporte" localSheetId="10">#REF!</definedName>
    <definedName name="transporte" localSheetId="11">#REF!</definedName>
    <definedName name="transporte" localSheetId="12">#REF!</definedName>
    <definedName name="transporte" localSheetId="13">#REF!</definedName>
    <definedName name="transporte" localSheetId="14">#REF!</definedName>
    <definedName name="transporte" localSheetId="15">#REF!</definedName>
    <definedName name="transporte" localSheetId="16">#REF!</definedName>
    <definedName name="transporte" localSheetId="17">#REF!</definedName>
    <definedName name="transporte" localSheetId="18">#REF!</definedName>
    <definedName name="transporte" localSheetId="1">#REF!</definedName>
    <definedName name="transporte" localSheetId="19">#REF!</definedName>
    <definedName name="transporte" localSheetId="20">#REF!</definedName>
    <definedName name="transporte" localSheetId="21">#REF!</definedName>
    <definedName name="transporte" localSheetId="22">#REF!</definedName>
    <definedName name="transporte" localSheetId="23">#REF!</definedName>
    <definedName name="transporte" localSheetId="24">#REF!</definedName>
    <definedName name="transporte" localSheetId="25">#REF!</definedName>
    <definedName name="transporte" localSheetId="26">#REF!</definedName>
    <definedName name="transporte" localSheetId="27">#REF!</definedName>
    <definedName name="transporte" localSheetId="28">#REF!</definedName>
    <definedName name="transporte" localSheetId="2">#REF!</definedName>
    <definedName name="transporte" localSheetId="29">#REF!</definedName>
    <definedName name="transporte" localSheetId="30">#REF!</definedName>
    <definedName name="transporte" localSheetId="3">#REF!</definedName>
    <definedName name="transporte" localSheetId="4">#REF!</definedName>
    <definedName name="transporte" localSheetId="5">#REF!</definedName>
    <definedName name="transporte" localSheetId="6">#REF!</definedName>
    <definedName name="transporte" localSheetId="7">#REF!</definedName>
    <definedName name="transporte" localSheetId="8">#REF!</definedName>
    <definedName name="transporte" localSheetId="32">#REF!</definedName>
    <definedName name="transporte">#REF!</definedName>
    <definedName name="unidad" localSheetId="32">#REF!</definedName>
    <definedName name="unidad">Unidades!$B$4:$F$17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80" l="1"/>
  <c r="E20" i="80"/>
  <c r="D20" i="80"/>
  <c r="C20" i="80"/>
  <c r="F19" i="80"/>
  <c r="E19" i="80"/>
  <c r="D19" i="80"/>
  <c r="C19" i="80"/>
  <c r="F18" i="80"/>
  <c r="E18" i="80"/>
  <c r="D18" i="80"/>
  <c r="C18" i="80"/>
  <c r="F17" i="80"/>
  <c r="E17" i="80"/>
  <c r="D17" i="80"/>
  <c r="C17" i="80"/>
  <c r="C16" i="80"/>
  <c r="F15" i="80"/>
  <c r="E15" i="80"/>
  <c r="D15" i="80"/>
  <c r="C15" i="80"/>
  <c r="F14" i="80"/>
  <c r="E14" i="80"/>
  <c r="D14" i="80"/>
  <c r="C14" i="80"/>
  <c r="F13" i="80"/>
  <c r="E13" i="80"/>
  <c r="D13" i="80"/>
  <c r="C13" i="80"/>
  <c r="F12" i="80"/>
  <c r="E12" i="80"/>
  <c r="D12" i="80"/>
  <c r="C12" i="80"/>
  <c r="F11" i="80"/>
  <c r="E11" i="80"/>
  <c r="D11" i="80"/>
  <c r="C11" i="80"/>
  <c r="F10" i="80"/>
  <c r="E10" i="80"/>
  <c r="D10" i="80"/>
  <c r="C10" i="80"/>
  <c r="F9" i="80"/>
  <c r="E9" i="80"/>
  <c r="D9" i="80"/>
  <c r="C9" i="80"/>
  <c r="F8" i="80"/>
  <c r="E8" i="80"/>
  <c r="D8" i="80"/>
  <c r="C8" i="80"/>
  <c r="F7" i="80"/>
  <c r="E7" i="80"/>
  <c r="D7" i="80"/>
  <c r="C7" i="80"/>
  <c r="F6" i="80"/>
  <c r="E6" i="80"/>
  <c r="D6" i="80"/>
  <c r="C6" i="80"/>
  <c r="F5" i="80"/>
  <c r="E5" i="80"/>
  <c r="D5" i="80"/>
  <c r="C5" i="80"/>
  <c r="F20" i="79"/>
  <c r="E20" i="79"/>
  <c r="D20" i="79"/>
  <c r="C20" i="79"/>
  <c r="F19" i="79"/>
  <c r="E19" i="79"/>
  <c r="D19" i="79"/>
  <c r="C19" i="79"/>
  <c r="F18" i="79"/>
  <c r="E18" i="79"/>
  <c r="D18" i="79"/>
  <c r="C18" i="79"/>
  <c r="F17" i="79"/>
  <c r="E17" i="79"/>
  <c r="D17" i="79"/>
  <c r="C17" i="79"/>
  <c r="C16" i="79"/>
  <c r="F15" i="79"/>
  <c r="E15" i="79"/>
  <c r="D15" i="79"/>
  <c r="C15" i="79"/>
  <c r="F14" i="79"/>
  <c r="E14" i="79"/>
  <c r="D14" i="79"/>
  <c r="C14" i="79"/>
  <c r="F13" i="79"/>
  <c r="E13" i="79"/>
  <c r="D13" i="79"/>
  <c r="C13" i="79"/>
  <c r="F12" i="79"/>
  <c r="E12" i="79"/>
  <c r="D12" i="79"/>
  <c r="C12" i="79"/>
  <c r="F11" i="79"/>
  <c r="E11" i="79"/>
  <c r="D11" i="79"/>
  <c r="C11" i="79"/>
  <c r="F10" i="79"/>
  <c r="E10" i="79"/>
  <c r="D10" i="79"/>
  <c r="C10" i="79"/>
  <c r="F9" i="79"/>
  <c r="E9" i="79"/>
  <c r="D9" i="79"/>
  <c r="C9" i="79"/>
  <c r="F8" i="79"/>
  <c r="E8" i="79"/>
  <c r="D8" i="79"/>
  <c r="C8" i="79"/>
  <c r="F7" i="79"/>
  <c r="E7" i="79"/>
  <c r="D7" i="79"/>
  <c r="C7" i="79"/>
  <c r="F6" i="79"/>
  <c r="E6" i="79"/>
  <c r="D6" i="79"/>
  <c r="C6" i="79"/>
  <c r="F5" i="79"/>
  <c r="E5" i="79"/>
  <c r="D5" i="79"/>
  <c r="C5" i="79"/>
  <c r="F20" i="78"/>
  <c r="E20" i="78"/>
  <c r="D20" i="78"/>
  <c r="C20" i="78"/>
  <c r="F19" i="78"/>
  <c r="E19" i="78"/>
  <c r="D19" i="78"/>
  <c r="C19" i="78"/>
  <c r="F18" i="78"/>
  <c r="E18" i="78"/>
  <c r="D18" i="78"/>
  <c r="C18" i="78"/>
  <c r="F17" i="78"/>
  <c r="E17" i="78"/>
  <c r="D17" i="78"/>
  <c r="C17" i="78"/>
  <c r="C16" i="78"/>
  <c r="F15" i="78"/>
  <c r="E15" i="78"/>
  <c r="D15" i="78"/>
  <c r="C15" i="78"/>
  <c r="F14" i="78"/>
  <c r="E14" i="78"/>
  <c r="D14" i="78"/>
  <c r="C14" i="78"/>
  <c r="F13" i="78"/>
  <c r="E13" i="78"/>
  <c r="D13" i="78"/>
  <c r="C13" i="78"/>
  <c r="F12" i="78"/>
  <c r="E12" i="78"/>
  <c r="D12" i="78"/>
  <c r="C12" i="78"/>
  <c r="F11" i="78"/>
  <c r="E11" i="78"/>
  <c r="D11" i="78"/>
  <c r="C11" i="78"/>
  <c r="F10" i="78"/>
  <c r="E10" i="78"/>
  <c r="D10" i="78"/>
  <c r="C10" i="78"/>
  <c r="F9" i="78"/>
  <c r="E9" i="78"/>
  <c r="D9" i="78"/>
  <c r="C9" i="78"/>
  <c r="F8" i="78"/>
  <c r="E8" i="78"/>
  <c r="D8" i="78"/>
  <c r="C8" i="78"/>
  <c r="F7" i="78"/>
  <c r="E7" i="78"/>
  <c r="D7" i="78"/>
  <c r="C7" i="78"/>
  <c r="F6" i="78"/>
  <c r="E6" i="78"/>
  <c r="D6" i="78"/>
  <c r="C6" i="78"/>
  <c r="F5" i="78"/>
  <c r="E5" i="78"/>
  <c r="D5" i="78"/>
  <c r="C5" i="78"/>
  <c r="F20" i="77"/>
  <c r="E20" i="77"/>
  <c r="D20" i="77"/>
  <c r="C20" i="77"/>
  <c r="F19" i="77"/>
  <c r="E19" i="77"/>
  <c r="D19" i="77"/>
  <c r="C19" i="77"/>
  <c r="F18" i="77"/>
  <c r="E18" i="77"/>
  <c r="D18" i="77"/>
  <c r="C18" i="77"/>
  <c r="F17" i="77"/>
  <c r="E17" i="77"/>
  <c r="D17" i="77"/>
  <c r="C17" i="77"/>
  <c r="C16" i="77"/>
  <c r="F15" i="77"/>
  <c r="E15" i="77"/>
  <c r="D15" i="77"/>
  <c r="C15" i="77"/>
  <c r="F14" i="77"/>
  <c r="E14" i="77"/>
  <c r="D14" i="77"/>
  <c r="C14" i="77"/>
  <c r="F13" i="77"/>
  <c r="E13" i="77"/>
  <c r="D13" i="77"/>
  <c r="C13" i="77"/>
  <c r="F12" i="77"/>
  <c r="E12" i="77"/>
  <c r="D12" i="77"/>
  <c r="C12" i="77"/>
  <c r="F11" i="77"/>
  <c r="E11" i="77"/>
  <c r="D11" i="77"/>
  <c r="C11" i="77"/>
  <c r="F10" i="77"/>
  <c r="E10" i="77"/>
  <c r="D10" i="77"/>
  <c r="C10" i="77"/>
  <c r="F9" i="77"/>
  <c r="E9" i="77"/>
  <c r="D9" i="77"/>
  <c r="C9" i="77"/>
  <c r="F8" i="77"/>
  <c r="E8" i="77"/>
  <c r="D8" i="77"/>
  <c r="C8" i="77"/>
  <c r="F7" i="77"/>
  <c r="E7" i="77"/>
  <c r="D7" i="77"/>
  <c r="C7" i="77"/>
  <c r="F6" i="77"/>
  <c r="E6" i="77"/>
  <c r="D6" i="77"/>
  <c r="C6" i="77"/>
  <c r="F5" i="77"/>
  <c r="E5" i="77"/>
  <c r="D5" i="77"/>
  <c r="C5" i="77"/>
  <c r="F20" i="76"/>
  <c r="E20" i="76"/>
  <c r="D20" i="76"/>
  <c r="C20" i="76"/>
  <c r="F19" i="76"/>
  <c r="E19" i="76"/>
  <c r="D19" i="76"/>
  <c r="C19" i="76"/>
  <c r="F18" i="76"/>
  <c r="E18" i="76"/>
  <c r="D18" i="76"/>
  <c r="C18" i="76"/>
  <c r="F17" i="76"/>
  <c r="E17" i="76"/>
  <c r="D17" i="76"/>
  <c r="C17" i="76"/>
  <c r="C16" i="76"/>
  <c r="F15" i="76"/>
  <c r="E15" i="76"/>
  <c r="D15" i="76"/>
  <c r="C15" i="76"/>
  <c r="F14" i="76"/>
  <c r="E14" i="76"/>
  <c r="D14" i="76"/>
  <c r="C14" i="76"/>
  <c r="F13" i="76"/>
  <c r="E13" i="76"/>
  <c r="D13" i="76"/>
  <c r="C13" i="76"/>
  <c r="F12" i="76"/>
  <c r="E12" i="76"/>
  <c r="D12" i="76"/>
  <c r="C12" i="76"/>
  <c r="F11" i="76"/>
  <c r="E11" i="76"/>
  <c r="D11" i="76"/>
  <c r="C11" i="76"/>
  <c r="F10" i="76"/>
  <c r="E10" i="76"/>
  <c r="D10" i="76"/>
  <c r="C10" i="76"/>
  <c r="F9" i="76"/>
  <c r="E9" i="76"/>
  <c r="D9" i="76"/>
  <c r="C9" i="76"/>
  <c r="F8" i="76"/>
  <c r="E8" i="76"/>
  <c r="D8" i="76"/>
  <c r="C8" i="76"/>
  <c r="F7" i="76"/>
  <c r="E7" i="76"/>
  <c r="D7" i="76"/>
  <c r="C7" i="76"/>
  <c r="F6" i="76"/>
  <c r="E6" i="76"/>
  <c r="D6" i="76"/>
  <c r="C6" i="76"/>
  <c r="F5" i="76"/>
  <c r="E5" i="76"/>
  <c r="D5" i="76"/>
  <c r="C5" i="76"/>
  <c r="F20" i="75"/>
  <c r="E20" i="75"/>
  <c r="D20" i="75"/>
  <c r="C20" i="75"/>
  <c r="F19" i="75"/>
  <c r="E19" i="75"/>
  <c r="D19" i="75"/>
  <c r="C19" i="75"/>
  <c r="F18" i="75"/>
  <c r="E18" i="75"/>
  <c r="D18" i="75"/>
  <c r="C18" i="75"/>
  <c r="F17" i="75"/>
  <c r="E17" i="75"/>
  <c r="D17" i="75"/>
  <c r="C17" i="75"/>
  <c r="C16" i="75"/>
  <c r="F15" i="75"/>
  <c r="E15" i="75"/>
  <c r="D15" i="75"/>
  <c r="C15" i="75"/>
  <c r="F14" i="75"/>
  <c r="E14" i="75"/>
  <c r="D14" i="75"/>
  <c r="C14" i="75"/>
  <c r="F13" i="75"/>
  <c r="E13" i="75"/>
  <c r="D13" i="75"/>
  <c r="C13" i="75"/>
  <c r="F12" i="75"/>
  <c r="E12" i="75"/>
  <c r="D12" i="75"/>
  <c r="C12" i="75"/>
  <c r="F11" i="75"/>
  <c r="E11" i="75"/>
  <c r="D11" i="75"/>
  <c r="C11" i="75"/>
  <c r="F10" i="75"/>
  <c r="E10" i="75"/>
  <c r="D10" i="75"/>
  <c r="C10" i="75"/>
  <c r="F9" i="75"/>
  <c r="E9" i="75"/>
  <c r="D9" i="75"/>
  <c r="C9" i="75"/>
  <c r="F8" i="75"/>
  <c r="E8" i="75"/>
  <c r="D8" i="75"/>
  <c r="C8" i="75"/>
  <c r="F7" i="75"/>
  <c r="E7" i="75"/>
  <c r="D7" i="75"/>
  <c r="C7" i="75"/>
  <c r="F6" i="75"/>
  <c r="E6" i="75"/>
  <c r="D6" i="75"/>
  <c r="C6" i="75"/>
  <c r="F5" i="75"/>
  <c r="E5" i="75"/>
  <c r="D5" i="75"/>
  <c r="C5" i="75"/>
  <c r="F20" i="74"/>
  <c r="E20" i="74"/>
  <c r="D20" i="74"/>
  <c r="C20" i="74"/>
  <c r="F19" i="74"/>
  <c r="E19" i="74"/>
  <c r="D19" i="74"/>
  <c r="C19" i="74"/>
  <c r="F18" i="74"/>
  <c r="E18" i="74"/>
  <c r="D18" i="74"/>
  <c r="C18" i="74"/>
  <c r="F17" i="74"/>
  <c r="E17" i="74"/>
  <c r="D17" i="74"/>
  <c r="C17" i="74"/>
  <c r="C16" i="74"/>
  <c r="F15" i="74"/>
  <c r="E15" i="74"/>
  <c r="D15" i="74"/>
  <c r="C15" i="74"/>
  <c r="F14" i="74"/>
  <c r="E14" i="74"/>
  <c r="D14" i="74"/>
  <c r="C14" i="74"/>
  <c r="F13" i="74"/>
  <c r="E13" i="74"/>
  <c r="D13" i="74"/>
  <c r="C13" i="74"/>
  <c r="F12" i="74"/>
  <c r="E12" i="74"/>
  <c r="D12" i="74"/>
  <c r="C12" i="74"/>
  <c r="F11" i="74"/>
  <c r="E11" i="74"/>
  <c r="D11" i="74"/>
  <c r="C11" i="74"/>
  <c r="F10" i="74"/>
  <c r="E10" i="74"/>
  <c r="D10" i="74"/>
  <c r="C10" i="74"/>
  <c r="F9" i="74"/>
  <c r="E9" i="74"/>
  <c r="D9" i="74"/>
  <c r="C9" i="74"/>
  <c r="F8" i="74"/>
  <c r="E8" i="74"/>
  <c r="D8" i="74"/>
  <c r="C8" i="74"/>
  <c r="F7" i="74"/>
  <c r="E7" i="74"/>
  <c r="D7" i="74"/>
  <c r="C7" i="74"/>
  <c r="F6" i="74"/>
  <c r="E6" i="74"/>
  <c r="D6" i="74"/>
  <c r="C6" i="74"/>
  <c r="F5" i="74"/>
  <c r="E5" i="74"/>
  <c r="D5" i="74"/>
  <c r="C5" i="74"/>
  <c r="F20" i="73"/>
  <c r="E20" i="73"/>
  <c r="D20" i="73"/>
  <c r="C20" i="73"/>
  <c r="F19" i="73"/>
  <c r="E19" i="73"/>
  <c r="D19" i="73"/>
  <c r="C19" i="73"/>
  <c r="F18" i="73"/>
  <c r="E18" i="73"/>
  <c r="D18" i="73"/>
  <c r="C18" i="73"/>
  <c r="F17" i="73"/>
  <c r="E17" i="73"/>
  <c r="D17" i="73"/>
  <c r="C17" i="73"/>
  <c r="C16" i="73"/>
  <c r="F15" i="73"/>
  <c r="E15" i="73"/>
  <c r="D15" i="73"/>
  <c r="C15" i="73"/>
  <c r="F14" i="73"/>
  <c r="E14" i="73"/>
  <c r="D14" i="73"/>
  <c r="C14" i="73"/>
  <c r="F13" i="73"/>
  <c r="E13" i="73"/>
  <c r="D13" i="73"/>
  <c r="C13" i="73"/>
  <c r="F12" i="73"/>
  <c r="E12" i="73"/>
  <c r="D12" i="73"/>
  <c r="C12" i="73"/>
  <c r="F11" i="73"/>
  <c r="E11" i="73"/>
  <c r="D11" i="73"/>
  <c r="C11" i="73"/>
  <c r="F10" i="73"/>
  <c r="E10" i="73"/>
  <c r="D10" i="73"/>
  <c r="C10" i="73"/>
  <c r="F9" i="73"/>
  <c r="E9" i="73"/>
  <c r="D9" i="73"/>
  <c r="C9" i="73"/>
  <c r="F8" i="73"/>
  <c r="E8" i="73"/>
  <c r="D8" i="73"/>
  <c r="C8" i="73"/>
  <c r="F7" i="73"/>
  <c r="E7" i="73"/>
  <c r="D7" i="73"/>
  <c r="C7" i="73"/>
  <c r="F6" i="73"/>
  <c r="E6" i="73"/>
  <c r="D6" i="73"/>
  <c r="C6" i="73"/>
  <c r="F5" i="73"/>
  <c r="E5" i="73"/>
  <c r="D5" i="73"/>
  <c r="C5" i="73"/>
  <c r="F20" i="72"/>
  <c r="E20" i="72"/>
  <c r="D20" i="72"/>
  <c r="C20" i="72"/>
  <c r="F19" i="72"/>
  <c r="E19" i="72"/>
  <c r="D19" i="72"/>
  <c r="C19" i="72"/>
  <c r="F18" i="72"/>
  <c r="E18" i="72"/>
  <c r="D18" i="72"/>
  <c r="C18" i="72"/>
  <c r="F17" i="72"/>
  <c r="E17" i="72"/>
  <c r="D17" i="72"/>
  <c r="C17" i="72"/>
  <c r="C16" i="72"/>
  <c r="F15" i="72"/>
  <c r="E15" i="72"/>
  <c r="D15" i="72"/>
  <c r="C15" i="72"/>
  <c r="F14" i="72"/>
  <c r="E14" i="72"/>
  <c r="D14" i="72"/>
  <c r="C14" i="72"/>
  <c r="F13" i="72"/>
  <c r="E13" i="72"/>
  <c r="D13" i="72"/>
  <c r="C13" i="72"/>
  <c r="F12" i="72"/>
  <c r="E12" i="72"/>
  <c r="D12" i="72"/>
  <c r="C12" i="72"/>
  <c r="F11" i="72"/>
  <c r="E11" i="72"/>
  <c r="D11" i="72"/>
  <c r="C11" i="72"/>
  <c r="F10" i="72"/>
  <c r="E10" i="72"/>
  <c r="D10" i="72"/>
  <c r="C10" i="72"/>
  <c r="F9" i="72"/>
  <c r="E9" i="72"/>
  <c r="D9" i="72"/>
  <c r="C9" i="72"/>
  <c r="F8" i="72"/>
  <c r="E8" i="72"/>
  <c r="D8" i="72"/>
  <c r="C8" i="72"/>
  <c r="F7" i="72"/>
  <c r="E7" i="72"/>
  <c r="D7" i="72"/>
  <c r="C7" i="72"/>
  <c r="F6" i="72"/>
  <c r="E6" i="72"/>
  <c r="D6" i="72"/>
  <c r="C6" i="72"/>
  <c r="F5" i="72"/>
  <c r="E5" i="72"/>
  <c r="D5" i="72"/>
  <c r="C5" i="72"/>
  <c r="F20" i="71"/>
  <c r="E20" i="71"/>
  <c r="D20" i="71"/>
  <c r="C20" i="71"/>
  <c r="F19" i="71"/>
  <c r="E19" i="71"/>
  <c r="D19" i="71"/>
  <c r="C19" i="71"/>
  <c r="F18" i="71"/>
  <c r="E18" i="71"/>
  <c r="D18" i="71"/>
  <c r="C18" i="71"/>
  <c r="F17" i="71"/>
  <c r="E17" i="71"/>
  <c r="D17" i="71"/>
  <c r="C17" i="71"/>
  <c r="C16" i="71"/>
  <c r="F15" i="71"/>
  <c r="E15" i="71"/>
  <c r="D15" i="71"/>
  <c r="C15" i="71"/>
  <c r="F14" i="71"/>
  <c r="E14" i="71"/>
  <c r="D14" i="71"/>
  <c r="C14" i="71"/>
  <c r="F13" i="71"/>
  <c r="E13" i="71"/>
  <c r="D13" i="71"/>
  <c r="C13" i="71"/>
  <c r="F12" i="71"/>
  <c r="E12" i="71"/>
  <c r="D12" i="71"/>
  <c r="C12" i="71"/>
  <c r="F11" i="71"/>
  <c r="E11" i="71"/>
  <c r="D11" i="71"/>
  <c r="C11" i="71"/>
  <c r="F10" i="71"/>
  <c r="E10" i="71"/>
  <c r="D10" i="71"/>
  <c r="C10" i="71"/>
  <c r="F9" i="71"/>
  <c r="E9" i="71"/>
  <c r="D9" i="71"/>
  <c r="C9" i="71"/>
  <c r="F8" i="71"/>
  <c r="E8" i="71"/>
  <c r="D8" i="71"/>
  <c r="C8" i="71"/>
  <c r="F7" i="71"/>
  <c r="E7" i="71"/>
  <c r="D7" i="71"/>
  <c r="C7" i="71"/>
  <c r="F6" i="71"/>
  <c r="E6" i="71"/>
  <c r="D6" i="71"/>
  <c r="C6" i="71"/>
  <c r="F5" i="71"/>
  <c r="E5" i="71"/>
  <c r="D5" i="71"/>
  <c r="C5" i="71"/>
  <c r="F20" i="70"/>
  <c r="E20" i="70"/>
  <c r="D20" i="70"/>
  <c r="C20" i="70"/>
  <c r="F19" i="70"/>
  <c r="E19" i="70"/>
  <c r="D19" i="70"/>
  <c r="C19" i="70"/>
  <c r="F18" i="70"/>
  <c r="E18" i="70"/>
  <c r="D18" i="70"/>
  <c r="C18" i="70"/>
  <c r="F17" i="70"/>
  <c r="E17" i="70"/>
  <c r="D17" i="70"/>
  <c r="C17" i="70"/>
  <c r="C16" i="70"/>
  <c r="F15" i="70"/>
  <c r="E15" i="70"/>
  <c r="D15" i="70"/>
  <c r="C15" i="70"/>
  <c r="F14" i="70"/>
  <c r="E14" i="70"/>
  <c r="D14" i="70"/>
  <c r="C14" i="70"/>
  <c r="F13" i="70"/>
  <c r="E13" i="70"/>
  <c r="D13" i="70"/>
  <c r="C13" i="70"/>
  <c r="F12" i="70"/>
  <c r="E12" i="70"/>
  <c r="D12" i="70"/>
  <c r="C12" i="70"/>
  <c r="F11" i="70"/>
  <c r="E11" i="70"/>
  <c r="D11" i="70"/>
  <c r="C11" i="70"/>
  <c r="F10" i="70"/>
  <c r="E10" i="70"/>
  <c r="D10" i="70"/>
  <c r="C10" i="70"/>
  <c r="F9" i="70"/>
  <c r="E9" i="70"/>
  <c r="D9" i="70"/>
  <c r="C9" i="70"/>
  <c r="F8" i="70"/>
  <c r="E8" i="70"/>
  <c r="D8" i="70"/>
  <c r="C8" i="70"/>
  <c r="F7" i="70"/>
  <c r="E7" i="70"/>
  <c r="D7" i="70"/>
  <c r="C7" i="70"/>
  <c r="F6" i="70"/>
  <c r="E6" i="70"/>
  <c r="D6" i="70"/>
  <c r="C6" i="70"/>
  <c r="F5" i="70"/>
  <c r="E5" i="70"/>
  <c r="D5" i="70"/>
  <c r="C5" i="70"/>
  <c r="F20" i="69"/>
  <c r="E20" i="69"/>
  <c r="D20" i="69"/>
  <c r="C20" i="69"/>
  <c r="F19" i="69"/>
  <c r="E19" i="69"/>
  <c r="D19" i="69"/>
  <c r="C19" i="69"/>
  <c r="F18" i="69"/>
  <c r="E18" i="69"/>
  <c r="D18" i="69"/>
  <c r="C18" i="69"/>
  <c r="F17" i="69"/>
  <c r="E17" i="69"/>
  <c r="D17" i="69"/>
  <c r="C17" i="69"/>
  <c r="C16" i="69"/>
  <c r="F15" i="69"/>
  <c r="E15" i="69"/>
  <c r="D15" i="69"/>
  <c r="C15" i="69"/>
  <c r="F14" i="69"/>
  <c r="E14" i="69"/>
  <c r="D14" i="69"/>
  <c r="C14" i="69"/>
  <c r="F13" i="69"/>
  <c r="E13" i="69"/>
  <c r="D13" i="69"/>
  <c r="C13" i="69"/>
  <c r="F12" i="69"/>
  <c r="E12" i="69"/>
  <c r="D12" i="69"/>
  <c r="C12" i="69"/>
  <c r="F11" i="69"/>
  <c r="E11" i="69"/>
  <c r="D11" i="69"/>
  <c r="C11" i="69"/>
  <c r="F10" i="69"/>
  <c r="E10" i="69"/>
  <c r="D10" i="69"/>
  <c r="C10" i="69"/>
  <c r="F9" i="69"/>
  <c r="E9" i="69"/>
  <c r="D9" i="69"/>
  <c r="C9" i="69"/>
  <c r="F8" i="69"/>
  <c r="E8" i="69"/>
  <c r="D8" i="69"/>
  <c r="C8" i="69"/>
  <c r="F7" i="69"/>
  <c r="E7" i="69"/>
  <c r="D7" i="69"/>
  <c r="C7" i="69"/>
  <c r="F6" i="69"/>
  <c r="E6" i="69"/>
  <c r="D6" i="69"/>
  <c r="C6" i="69"/>
  <c r="F5" i="69"/>
  <c r="E5" i="69"/>
  <c r="D5" i="69"/>
  <c r="C5" i="69"/>
  <c r="F20" i="68"/>
  <c r="E20" i="68"/>
  <c r="D20" i="68"/>
  <c r="C20" i="68"/>
  <c r="F19" i="68"/>
  <c r="E19" i="68"/>
  <c r="D19" i="68"/>
  <c r="C19" i="68"/>
  <c r="F18" i="68"/>
  <c r="E18" i="68"/>
  <c r="D18" i="68"/>
  <c r="C18" i="68"/>
  <c r="F17" i="68"/>
  <c r="E17" i="68"/>
  <c r="D17" i="68"/>
  <c r="C17" i="68"/>
  <c r="C16" i="68"/>
  <c r="F15" i="68"/>
  <c r="E15" i="68"/>
  <c r="D15" i="68"/>
  <c r="C15" i="68"/>
  <c r="F14" i="68"/>
  <c r="E14" i="68"/>
  <c r="D14" i="68"/>
  <c r="C14" i="68"/>
  <c r="F13" i="68"/>
  <c r="E13" i="68"/>
  <c r="D13" i="68"/>
  <c r="C13" i="68"/>
  <c r="F12" i="68"/>
  <c r="E12" i="68"/>
  <c r="D12" i="68"/>
  <c r="C12" i="68"/>
  <c r="F11" i="68"/>
  <c r="E11" i="68"/>
  <c r="D11" i="68"/>
  <c r="C11" i="68"/>
  <c r="F10" i="68"/>
  <c r="E10" i="68"/>
  <c r="D10" i="68"/>
  <c r="C10" i="68"/>
  <c r="F9" i="68"/>
  <c r="E9" i="68"/>
  <c r="D9" i="68"/>
  <c r="C9" i="68"/>
  <c r="F8" i="68"/>
  <c r="E8" i="68"/>
  <c r="D8" i="68"/>
  <c r="C8" i="68"/>
  <c r="F7" i="68"/>
  <c r="E7" i="68"/>
  <c r="D7" i="68"/>
  <c r="C7" i="68"/>
  <c r="F6" i="68"/>
  <c r="E6" i="68"/>
  <c r="D6" i="68"/>
  <c r="C6" i="68"/>
  <c r="F5" i="68"/>
  <c r="E5" i="68"/>
  <c r="D5" i="68"/>
  <c r="C5" i="68"/>
  <c r="F20" i="56"/>
  <c r="E20" i="56"/>
  <c r="D20" i="56"/>
  <c r="C20" i="56"/>
  <c r="F19" i="56"/>
  <c r="E19" i="56"/>
  <c r="D19" i="56"/>
  <c r="C19" i="56"/>
  <c r="F18" i="56"/>
  <c r="E18" i="56"/>
  <c r="D18" i="56"/>
  <c r="C18" i="56"/>
  <c r="F17" i="56"/>
  <c r="E17" i="56"/>
  <c r="D17" i="56"/>
  <c r="C17" i="56"/>
  <c r="C16" i="56"/>
  <c r="F15" i="56"/>
  <c r="E15" i="56"/>
  <c r="D15" i="56"/>
  <c r="C15" i="56"/>
  <c r="F14" i="56"/>
  <c r="E14" i="56"/>
  <c r="D14" i="56"/>
  <c r="C14" i="56"/>
  <c r="F13" i="56"/>
  <c r="E13" i="56"/>
  <c r="D13" i="56"/>
  <c r="C13" i="56"/>
  <c r="F12" i="56"/>
  <c r="E12" i="56"/>
  <c r="D12" i="56"/>
  <c r="C12" i="56"/>
  <c r="F11" i="56"/>
  <c r="E11" i="56"/>
  <c r="D11" i="56"/>
  <c r="C11" i="56"/>
  <c r="F10" i="56"/>
  <c r="E10" i="56"/>
  <c r="D10" i="56"/>
  <c r="C10" i="56"/>
  <c r="F9" i="56"/>
  <c r="E9" i="56"/>
  <c r="D9" i="56"/>
  <c r="C9" i="56"/>
  <c r="F8" i="56"/>
  <c r="E8" i="56"/>
  <c r="D8" i="56"/>
  <c r="C8" i="56"/>
  <c r="F7" i="56"/>
  <c r="E7" i="56"/>
  <c r="D7" i="56"/>
  <c r="C7" i="56"/>
  <c r="F6" i="56"/>
  <c r="E6" i="56"/>
  <c r="D6" i="56"/>
  <c r="C6" i="56"/>
  <c r="F5" i="56"/>
  <c r="E5" i="56"/>
  <c r="D5" i="56"/>
  <c r="C5" i="56"/>
  <c r="F20" i="41"/>
  <c r="E20" i="41"/>
  <c r="D20" i="41"/>
  <c r="C20" i="41"/>
  <c r="F19" i="41"/>
  <c r="E19" i="41"/>
  <c r="D19" i="41"/>
  <c r="C19" i="41"/>
  <c r="F18" i="41"/>
  <c r="E18" i="41"/>
  <c r="D18" i="41"/>
  <c r="C18" i="41"/>
  <c r="F17" i="41"/>
  <c r="E17" i="41"/>
  <c r="D17" i="41"/>
  <c r="C17" i="41"/>
  <c r="C16" i="41"/>
  <c r="F15" i="41"/>
  <c r="E15" i="41"/>
  <c r="D15" i="41"/>
  <c r="C15" i="41"/>
  <c r="F14" i="41"/>
  <c r="E14" i="41"/>
  <c r="D14" i="41"/>
  <c r="C14" i="41"/>
  <c r="F13" i="41"/>
  <c r="E13" i="41"/>
  <c r="D13" i="41"/>
  <c r="C13" i="41"/>
  <c r="F12" i="41"/>
  <c r="E12" i="41"/>
  <c r="D12" i="41"/>
  <c r="C12" i="41"/>
  <c r="F11" i="41"/>
  <c r="E11" i="41"/>
  <c r="D11" i="41"/>
  <c r="C11" i="41"/>
  <c r="F10" i="41"/>
  <c r="E10" i="41"/>
  <c r="D10" i="41"/>
  <c r="C10" i="41"/>
  <c r="F9" i="41"/>
  <c r="E9" i="41"/>
  <c r="D9" i="41"/>
  <c r="C9" i="41"/>
  <c r="F8" i="41"/>
  <c r="E8" i="41"/>
  <c r="D8" i="41"/>
  <c r="C8" i="41"/>
  <c r="F7" i="41"/>
  <c r="E7" i="41"/>
  <c r="D7" i="41"/>
  <c r="C7" i="41"/>
  <c r="F6" i="41"/>
  <c r="E6" i="41"/>
  <c r="D6" i="41"/>
  <c r="C6" i="41"/>
  <c r="F5" i="41"/>
  <c r="E5" i="41"/>
  <c r="D5" i="41"/>
  <c r="C5" i="41"/>
  <c r="F20" i="40"/>
  <c r="E20" i="40"/>
  <c r="D20" i="40"/>
  <c r="C20" i="40"/>
  <c r="F19" i="40"/>
  <c r="E19" i="40"/>
  <c r="D19" i="40"/>
  <c r="C19" i="40"/>
  <c r="F18" i="40"/>
  <c r="E18" i="40"/>
  <c r="D18" i="40"/>
  <c r="C18" i="40"/>
  <c r="F17" i="40"/>
  <c r="E17" i="40"/>
  <c r="D17" i="40"/>
  <c r="C17" i="40"/>
  <c r="C16" i="40"/>
  <c r="F15" i="40"/>
  <c r="E15" i="40"/>
  <c r="D15" i="40"/>
  <c r="C15" i="40"/>
  <c r="F14" i="40"/>
  <c r="E14" i="40"/>
  <c r="D14" i="40"/>
  <c r="C14" i="40"/>
  <c r="F13" i="40"/>
  <c r="E13" i="40"/>
  <c r="D13" i="40"/>
  <c r="C13" i="40"/>
  <c r="F12" i="40"/>
  <c r="E12" i="40"/>
  <c r="D12" i="40"/>
  <c r="C12" i="40"/>
  <c r="F11" i="40"/>
  <c r="E11" i="40"/>
  <c r="D11" i="40"/>
  <c r="C11" i="40"/>
  <c r="F10" i="40"/>
  <c r="E10" i="40"/>
  <c r="D10" i="40"/>
  <c r="C10" i="40"/>
  <c r="F9" i="40"/>
  <c r="E9" i="40"/>
  <c r="D9" i="40"/>
  <c r="C9" i="40"/>
  <c r="F8" i="40"/>
  <c r="E8" i="40"/>
  <c r="D8" i="40"/>
  <c r="C8" i="40"/>
  <c r="F7" i="40"/>
  <c r="E7" i="40"/>
  <c r="D7" i="40"/>
  <c r="C7" i="40"/>
  <c r="F6" i="40"/>
  <c r="E6" i="40"/>
  <c r="D6" i="40"/>
  <c r="C6" i="40"/>
  <c r="F5" i="40"/>
  <c r="E5" i="40"/>
  <c r="D5" i="40"/>
  <c r="C5" i="40"/>
  <c r="F20" i="39"/>
  <c r="E20" i="39"/>
  <c r="D20" i="39"/>
  <c r="C20" i="39"/>
  <c r="F19" i="39"/>
  <c r="E19" i="39"/>
  <c r="D19" i="39"/>
  <c r="C19" i="39"/>
  <c r="F18" i="39"/>
  <c r="E18" i="39"/>
  <c r="D18" i="39"/>
  <c r="C18" i="39"/>
  <c r="F17" i="39"/>
  <c r="E17" i="39"/>
  <c r="D17" i="39"/>
  <c r="C17" i="39"/>
  <c r="C16" i="39"/>
  <c r="F15" i="39"/>
  <c r="E15" i="39"/>
  <c r="D15" i="39"/>
  <c r="C15" i="39"/>
  <c r="F14" i="39"/>
  <c r="E14" i="39"/>
  <c r="D14" i="39"/>
  <c r="C14" i="39"/>
  <c r="F13" i="39"/>
  <c r="E13" i="39"/>
  <c r="D13" i="39"/>
  <c r="C13" i="39"/>
  <c r="F12" i="39"/>
  <c r="E12" i="39"/>
  <c r="D12" i="39"/>
  <c r="C12" i="39"/>
  <c r="F11" i="39"/>
  <c r="E11" i="39"/>
  <c r="D11" i="39"/>
  <c r="C11" i="39"/>
  <c r="F10" i="39"/>
  <c r="E10" i="39"/>
  <c r="D10" i="39"/>
  <c r="C10" i="39"/>
  <c r="F9" i="39"/>
  <c r="E9" i="39"/>
  <c r="D9" i="39"/>
  <c r="C9" i="39"/>
  <c r="F8" i="39"/>
  <c r="E8" i="39"/>
  <c r="D8" i="39"/>
  <c r="C8" i="39"/>
  <c r="F7" i="39"/>
  <c r="E7" i="39"/>
  <c r="D7" i="39"/>
  <c r="C7" i="39"/>
  <c r="F6" i="39"/>
  <c r="E6" i="39"/>
  <c r="D6" i="39"/>
  <c r="C6" i="39"/>
  <c r="F5" i="39"/>
  <c r="E5" i="39"/>
  <c r="D5" i="39"/>
  <c r="C5" i="39"/>
  <c r="F20" i="38"/>
  <c r="E20" i="38"/>
  <c r="D20" i="38"/>
  <c r="C20" i="38"/>
  <c r="F19" i="38"/>
  <c r="E19" i="38"/>
  <c r="D19" i="38"/>
  <c r="C19" i="38"/>
  <c r="F18" i="38"/>
  <c r="E18" i="38"/>
  <c r="D18" i="38"/>
  <c r="C18" i="38"/>
  <c r="F17" i="38"/>
  <c r="E17" i="38"/>
  <c r="D17" i="38"/>
  <c r="C17" i="38"/>
  <c r="C16" i="38"/>
  <c r="F15" i="38"/>
  <c r="E15" i="38"/>
  <c r="D15" i="38"/>
  <c r="C15" i="38"/>
  <c r="F14" i="38"/>
  <c r="E14" i="38"/>
  <c r="D14" i="38"/>
  <c r="C14" i="38"/>
  <c r="F13" i="38"/>
  <c r="E13" i="38"/>
  <c r="D13" i="38"/>
  <c r="C13" i="38"/>
  <c r="F12" i="38"/>
  <c r="E12" i="38"/>
  <c r="D12" i="38"/>
  <c r="C12" i="38"/>
  <c r="F11" i="38"/>
  <c r="E11" i="38"/>
  <c r="D11" i="38"/>
  <c r="C11" i="38"/>
  <c r="F10" i="38"/>
  <c r="E10" i="38"/>
  <c r="D10" i="38"/>
  <c r="C10" i="38"/>
  <c r="F9" i="38"/>
  <c r="E9" i="38"/>
  <c r="D9" i="38"/>
  <c r="C9" i="38"/>
  <c r="F8" i="38"/>
  <c r="E8" i="38"/>
  <c r="D8" i="38"/>
  <c r="C8" i="38"/>
  <c r="F7" i="38"/>
  <c r="E7" i="38"/>
  <c r="D7" i="38"/>
  <c r="C7" i="38"/>
  <c r="F6" i="38"/>
  <c r="E6" i="38"/>
  <c r="D6" i="38"/>
  <c r="C6" i="38"/>
  <c r="F5" i="38"/>
  <c r="E5" i="38"/>
  <c r="D5" i="38"/>
  <c r="C5" i="38"/>
  <c r="F20" i="37"/>
  <c r="E20" i="37"/>
  <c r="D20" i="37"/>
  <c r="C20" i="37"/>
  <c r="F19" i="37"/>
  <c r="E19" i="37"/>
  <c r="D19" i="37"/>
  <c r="C19" i="37"/>
  <c r="F18" i="37"/>
  <c r="E18" i="37"/>
  <c r="D18" i="37"/>
  <c r="C18" i="37"/>
  <c r="F17" i="37"/>
  <c r="E17" i="37"/>
  <c r="D17" i="37"/>
  <c r="C17" i="37"/>
  <c r="C16" i="37"/>
  <c r="F15" i="37"/>
  <c r="E15" i="37"/>
  <c r="D15" i="37"/>
  <c r="C15" i="37"/>
  <c r="F14" i="37"/>
  <c r="E14" i="37"/>
  <c r="D14" i="37"/>
  <c r="C14" i="37"/>
  <c r="F13" i="37"/>
  <c r="E13" i="37"/>
  <c r="D13" i="37"/>
  <c r="C13" i="37"/>
  <c r="F12" i="37"/>
  <c r="E12" i="37"/>
  <c r="D12" i="37"/>
  <c r="C12" i="37"/>
  <c r="F11" i="37"/>
  <c r="E11" i="37"/>
  <c r="D11" i="37"/>
  <c r="C11" i="37"/>
  <c r="F10" i="37"/>
  <c r="E10" i="37"/>
  <c r="D10" i="37"/>
  <c r="C10" i="37"/>
  <c r="F9" i="37"/>
  <c r="E9" i="37"/>
  <c r="D9" i="37"/>
  <c r="C9" i="37"/>
  <c r="F8" i="37"/>
  <c r="E8" i="37"/>
  <c r="D8" i="37"/>
  <c r="C8" i="37"/>
  <c r="F7" i="37"/>
  <c r="E7" i="37"/>
  <c r="D7" i="37"/>
  <c r="C7" i="37"/>
  <c r="F6" i="37"/>
  <c r="E6" i="37"/>
  <c r="D6" i="37"/>
  <c r="C6" i="37"/>
  <c r="F5" i="37"/>
  <c r="E5" i="37"/>
  <c r="D5" i="37"/>
  <c r="C5" i="37"/>
  <c r="F20" i="36"/>
  <c r="E20" i="36"/>
  <c r="D20" i="36"/>
  <c r="C20" i="36"/>
  <c r="F19" i="36"/>
  <c r="E19" i="36"/>
  <c r="D19" i="36"/>
  <c r="C19" i="36"/>
  <c r="F18" i="36"/>
  <c r="E18" i="36"/>
  <c r="D18" i="36"/>
  <c r="C18" i="36"/>
  <c r="F17" i="36"/>
  <c r="E17" i="36"/>
  <c r="D17" i="36"/>
  <c r="C17" i="36"/>
  <c r="C16" i="36"/>
  <c r="F15" i="36"/>
  <c r="E15" i="36"/>
  <c r="D15" i="36"/>
  <c r="C15" i="36"/>
  <c r="F14" i="36"/>
  <c r="E14" i="36"/>
  <c r="D14" i="36"/>
  <c r="C14" i="36"/>
  <c r="F13" i="36"/>
  <c r="E13" i="36"/>
  <c r="D13" i="36"/>
  <c r="C13" i="36"/>
  <c r="F12" i="36"/>
  <c r="E12" i="36"/>
  <c r="D12" i="36"/>
  <c r="C12" i="36"/>
  <c r="F11" i="36"/>
  <c r="E11" i="36"/>
  <c r="D11" i="36"/>
  <c r="C11" i="36"/>
  <c r="F10" i="36"/>
  <c r="E10" i="36"/>
  <c r="D10" i="36"/>
  <c r="C10" i="36"/>
  <c r="F9" i="36"/>
  <c r="E9" i="36"/>
  <c r="D9" i="36"/>
  <c r="C9" i="36"/>
  <c r="F8" i="36"/>
  <c r="E8" i="36"/>
  <c r="D8" i="36"/>
  <c r="C8" i="36"/>
  <c r="F7" i="36"/>
  <c r="E7" i="36"/>
  <c r="D7" i="36"/>
  <c r="C7" i="36"/>
  <c r="F6" i="36"/>
  <c r="E6" i="36"/>
  <c r="D6" i="36"/>
  <c r="C6" i="36"/>
  <c r="F5" i="36"/>
  <c r="E5" i="36"/>
  <c r="D5" i="36"/>
  <c r="C5" i="36"/>
  <c r="F20" i="35"/>
  <c r="E20" i="35"/>
  <c r="D20" i="35"/>
  <c r="C20" i="35"/>
  <c r="F19" i="35"/>
  <c r="E19" i="35"/>
  <c r="D19" i="35"/>
  <c r="C19" i="35"/>
  <c r="F18" i="35"/>
  <c r="E18" i="35"/>
  <c r="D18" i="35"/>
  <c r="C18" i="35"/>
  <c r="F17" i="35"/>
  <c r="E17" i="35"/>
  <c r="D17" i="35"/>
  <c r="C17" i="35"/>
  <c r="C16" i="35"/>
  <c r="F15" i="35"/>
  <c r="E15" i="35"/>
  <c r="D15" i="35"/>
  <c r="C15" i="35"/>
  <c r="F14" i="35"/>
  <c r="E14" i="35"/>
  <c r="D14" i="35"/>
  <c r="C14" i="35"/>
  <c r="F13" i="35"/>
  <c r="E13" i="35"/>
  <c r="D13" i="35"/>
  <c r="C13" i="35"/>
  <c r="F12" i="35"/>
  <c r="E12" i="35"/>
  <c r="D12" i="35"/>
  <c r="C12" i="35"/>
  <c r="F11" i="35"/>
  <c r="E11" i="35"/>
  <c r="D11" i="35"/>
  <c r="C11" i="35"/>
  <c r="F10" i="35"/>
  <c r="E10" i="35"/>
  <c r="D10" i="35"/>
  <c r="C10" i="35"/>
  <c r="F9" i="35"/>
  <c r="E9" i="35"/>
  <c r="D9" i="35"/>
  <c r="C9" i="35"/>
  <c r="F8" i="35"/>
  <c r="E8" i="35"/>
  <c r="D8" i="35"/>
  <c r="C8" i="35"/>
  <c r="F7" i="35"/>
  <c r="E7" i="35"/>
  <c r="D7" i="35"/>
  <c r="C7" i="35"/>
  <c r="F6" i="35"/>
  <c r="E6" i="35"/>
  <c r="D6" i="35"/>
  <c r="C6" i="35"/>
  <c r="F5" i="35"/>
  <c r="E5" i="35"/>
  <c r="D5" i="35"/>
  <c r="C5" i="35"/>
  <c r="F20" i="34"/>
  <c r="E20" i="34"/>
  <c r="D20" i="34"/>
  <c r="C20" i="34"/>
  <c r="F19" i="34"/>
  <c r="E19" i="34"/>
  <c r="D19" i="34"/>
  <c r="C19" i="34"/>
  <c r="F18" i="34"/>
  <c r="E18" i="34"/>
  <c r="D18" i="34"/>
  <c r="C18" i="34"/>
  <c r="F17" i="34"/>
  <c r="E17" i="34"/>
  <c r="D17" i="34"/>
  <c r="C17" i="34"/>
  <c r="C16" i="34"/>
  <c r="F15" i="34"/>
  <c r="E15" i="34"/>
  <c r="D15" i="34"/>
  <c r="C15" i="34"/>
  <c r="F14" i="34"/>
  <c r="E14" i="34"/>
  <c r="D14" i="34"/>
  <c r="C14" i="34"/>
  <c r="F13" i="34"/>
  <c r="E13" i="34"/>
  <c r="D13" i="34"/>
  <c r="C13" i="34"/>
  <c r="F12" i="34"/>
  <c r="E12" i="34"/>
  <c r="D12" i="34"/>
  <c r="C12" i="34"/>
  <c r="F11" i="34"/>
  <c r="E11" i="34"/>
  <c r="D11" i="34"/>
  <c r="C11" i="34"/>
  <c r="F10" i="34"/>
  <c r="E10" i="34"/>
  <c r="D10" i="34"/>
  <c r="C10" i="34"/>
  <c r="F9" i="34"/>
  <c r="E9" i="34"/>
  <c r="D9" i="34"/>
  <c r="C9" i="34"/>
  <c r="F8" i="34"/>
  <c r="E8" i="34"/>
  <c r="D8" i="34"/>
  <c r="C8" i="34"/>
  <c r="F7" i="34"/>
  <c r="E7" i="34"/>
  <c r="D7" i="34"/>
  <c r="C7" i="34"/>
  <c r="F6" i="34"/>
  <c r="E6" i="34"/>
  <c r="D6" i="34"/>
  <c r="C6" i="34"/>
  <c r="F5" i="34"/>
  <c r="E5" i="34"/>
  <c r="D5" i="34"/>
  <c r="C5" i="34"/>
  <c r="F20" i="33"/>
  <c r="E20" i="33"/>
  <c r="D20" i="33"/>
  <c r="C20" i="33"/>
  <c r="F19" i="33"/>
  <c r="E19" i="33"/>
  <c r="D19" i="33"/>
  <c r="C19" i="33"/>
  <c r="F18" i="33"/>
  <c r="E18" i="33"/>
  <c r="D18" i="33"/>
  <c r="C18" i="33"/>
  <c r="F17" i="33"/>
  <c r="E17" i="33"/>
  <c r="D17" i="33"/>
  <c r="C17" i="33"/>
  <c r="C16" i="33"/>
  <c r="F15" i="33"/>
  <c r="E15" i="33"/>
  <c r="D15" i="33"/>
  <c r="C15" i="33"/>
  <c r="F14" i="33"/>
  <c r="E14" i="33"/>
  <c r="D14" i="33"/>
  <c r="C14" i="33"/>
  <c r="F13" i="33"/>
  <c r="E13" i="33"/>
  <c r="D13" i="33"/>
  <c r="C13" i="33"/>
  <c r="F12" i="33"/>
  <c r="E12" i="33"/>
  <c r="D12" i="33"/>
  <c r="C12" i="33"/>
  <c r="F11" i="33"/>
  <c r="E11" i="33"/>
  <c r="D11" i="33"/>
  <c r="C11" i="33"/>
  <c r="F10" i="33"/>
  <c r="E10" i="33"/>
  <c r="D10" i="33"/>
  <c r="C10" i="33"/>
  <c r="F9" i="33"/>
  <c r="E9" i="33"/>
  <c r="D9" i="33"/>
  <c r="C9" i="33"/>
  <c r="F8" i="33"/>
  <c r="E8" i="33"/>
  <c r="D8" i="33"/>
  <c r="C8" i="33"/>
  <c r="F7" i="33"/>
  <c r="E7" i="33"/>
  <c r="D7" i="33"/>
  <c r="C7" i="33"/>
  <c r="F6" i="33"/>
  <c r="E6" i="33"/>
  <c r="D6" i="33"/>
  <c r="C6" i="33"/>
  <c r="F5" i="33"/>
  <c r="E5" i="33"/>
  <c r="D5" i="33"/>
  <c r="C5" i="33"/>
  <c r="F20" i="32"/>
  <c r="E20" i="32"/>
  <c r="D20" i="32"/>
  <c r="C20" i="32"/>
  <c r="F19" i="32"/>
  <c r="E19" i="32"/>
  <c r="D19" i="32"/>
  <c r="C19" i="32"/>
  <c r="F18" i="32"/>
  <c r="E18" i="32"/>
  <c r="D18" i="32"/>
  <c r="C18" i="32"/>
  <c r="F17" i="32"/>
  <c r="E17" i="32"/>
  <c r="D17" i="32"/>
  <c r="C17" i="32"/>
  <c r="C16" i="32"/>
  <c r="F15" i="32"/>
  <c r="E15" i="32"/>
  <c r="D15" i="32"/>
  <c r="C15" i="32"/>
  <c r="F14" i="32"/>
  <c r="E14" i="32"/>
  <c r="D14" i="32"/>
  <c r="C14" i="32"/>
  <c r="F13" i="32"/>
  <c r="E13" i="32"/>
  <c r="D13" i="32"/>
  <c r="C13" i="32"/>
  <c r="F12" i="32"/>
  <c r="E12" i="32"/>
  <c r="D12" i="32"/>
  <c r="C12" i="32"/>
  <c r="F11" i="32"/>
  <c r="E11" i="32"/>
  <c r="D11" i="32"/>
  <c r="C11" i="32"/>
  <c r="F10" i="32"/>
  <c r="E10" i="32"/>
  <c r="D10" i="32"/>
  <c r="C10" i="32"/>
  <c r="F9" i="32"/>
  <c r="E9" i="32"/>
  <c r="D9" i="32"/>
  <c r="C9" i="32"/>
  <c r="F8" i="32"/>
  <c r="E8" i="32"/>
  <c r="D8" i="32"/>
  <c r="C8" i="32"/>
  <c r="F7" i="32"/>
  <c r="E7" i="32"/>
  <c r="D7" i="32"/>
  <c r="C7" i="32"/>
  <c r="F6" i="32"/>
  <c r="E6" i="32"/>
  <c r="D6" i="32"/>
  <c r="C6" i="32"/>
  <c r="F5" i="32"/>
  <c r="E5" i="32"/>
  <c r="D5" i="32"/>
  <c r="C5" i="32"/>
  <c r="F20" i="31"/>
  <c r="E20" i="31"/>
  <c r="D20" i="31"/>
  <c r="C20" i="31"/>
  <c r="F19" i="31"/>
  <c r="E19" i="31"/>
  <c r="D19" i="31"/>
  <c r="C19" i="31"/>
  <c r="F18" i="31"/>
  <c r="E18" i="31"/>
  <c r="D18" i="31"/>
  <c r="C18" i="31"/>
  <c r="F17" i="31"/>
  <c r="E17" i="31"/>
  <c r="D17" i="31"/>
  <c r="C17" i="31"/>
  <c r="C16" i="31"/>
  <c r="F15" i="31"/>
  <c r="E15" i="31"/>
  <c r="D15" i="31"/>
  <c r="C15" i="31"/>
  <c r="F14" i="31"/>
  <c r="E14" i="31"/>
  <c r="D14" i="31"/>
  <c r="C14" i="31"/>
  <c r="F13" i="31"/>
  <c r="E13" i="31"/>
  <c r="D13" i="31"/>
  <c r="C13" i="31"/>
  <c r="F12" i="31"/>
  <c r="E12" i="31"/>
  <c r="D12" i="31"/>
  <c r="C12" i="31"/>
  <c r="F11" i="31"/>
  <c r="E11" i="31"/>
  <c r="D11" i="31"/>
  <c r="C11" i="31"/>
  <c r="F10" i="31"/>
  <c r="E10" i="31"/>
  <c r="D10" i="31"/>
  <c r="C10" i="31"/>
  <c r="F9" i="31"/>
  <c r="E9" i="31"/>
  <c r="D9" i="31"/>
  <c r="C9" i="31"/>
  <c r="F8" i="31"/>
  <c r="E8" i="31"/>
  <c r="D8" i="31"/>
  <c r="C8" i="31"/>
  <c r="F7" i="31"/>
  <c r="E7" i="31"/>
  <c r="D7" i="31"/>
  <c r="C7" i="31"/>
  <c r="F6" i="31"/>
  <c r="E6" i="31"/>
  <c r="D6" i="31"/>
  <c r="C6" i="31"/>
  <c r="F5" i="31"/>
  <c r="E5" i="31"/>
  <c r="D5" i="31"/>
  <c r="C5" i="31"/>
  <c r="F20" i="30"/>
  <c r="E20" i="30"/>
  <c r="D20" i="30"/>
  <c r="C20" i="30"/>
  <c r="F19" i="30"/>
  <c r="E19" i="30"/>
  <c r="D19" i="30"/>
  <c r="C19" i="30"/>
  <c r="F18" i="30"/>
  <c r="E18" i="30"/>
  <c r="D18" i="30"/>
  <c r="C18" i="30"/>
  <c r="F17" i="30"/>
  <c r="E17" i="30"/>
  <c r="D17" i="30"/>
  <c r="C17" i="30"/>
  <c r="C16" i="30"/>
  <c r="F15" i="30"/>
  <c r="E15" i="30"/>
  <c r="D15" i="30"/>
  <c r="C15" i="30"/>
  <c r="F14" i="30"/>
  <c r="E14" i="30"/>
  <c r="D14" i="30"/>
  <c r="C14" i="30"/>
  <c r="F13" i="30"/>
  <c r="E13" i="30"/>
  <c r="D13" i="30"/>
  <c r="C13" i="30"/>
  <c r="F12" i="30"/>
  <c r="E12" i="30"/>
  <c r="D12" i="30"/>
  <c r="C12" i="30"/>
  <c r="F11" i="30"/>
  <c r="E11" i="30"/>
  <c r="D11" i="30"/>
  <c r="C11" i="30"/>
  <c r="F10" i="30"/>
  <c r="E10" i="30"/>
  <c r="D10" i="30"/>
  <c r="C10" i="30"/>
  <c r="F9" i="30"/>
  <c r="E9" i="30"/>
  <c r="D9" i="30"/>
  <c r="C9" i="30"/>
  <c r="F8" i="30"/>
  <c r="E8" i="30"/>
  <c r="D8" i="30"/>
  <c r="C8" i="30"/>
  <c r="F7" i="30"/>
  <c r="E7" i="30"/>
  <c r="D7" i="30"/>
  <c r="C7" i="30"/>
  <c r="F6" i="30"/>
  <c r="E6" i="30"/>
  <c r="D6" i="30"/>
  <c r="C6" i="30"/>
  <c r="F5" i="30"/>
  <c r="E5" i="30"/>
  <c r="D5" i="30"/>
  <c r="C5" i="30"/>
  <c r="F20" i="29"/>
  <c r="E20" i="29"/>
  <c r="D20" i="29"/>
  <c r="C20" i="29"/>
  <c r="F19" i="29"/>
  <c r="E19" i="29"/>
  <c r="D19" i="29"/>
  <c r="C19" i="29"/>
  <c r="F18" i="29"/>
  <c r="E18" i="29"/>
  <c r="D18" i="29"/>
  <c r="C18" i="29"/>
  <c r="F17" i="29"/>
  <c r="E17" i="29"/>
  <c r="D17" i="29"/>
  <c r="C17" i="29"/>
  <c r="C16" i="29"/>
  <c r="F15" i="29"/>
  <c r="E15" i="29"/>
  <c r="D15" i="29"/>
  <c r="C15" i="29"/>
  <c r="F14" i="29"/>
  <c r="E14" i="29"/>
  <c r="D14" i="29"/>
  <c r="C14" i="29"/>
  <c r="F13" i="29"/>
  <c r="E13" i="29"/>
  <c r="D13" i="29"/>
  <c r="C13" i="29"/>
  <c r="F12" i="29"/>
  <c r="E12" i="29"/>
  <c r="D12" i="29"/>
  <c r="C12" i="29"/>
  <c r="F11" i="29"/>
  <c r="E11" i="29"/>
  <c r="D11" i="29"/>
  <c r="C11" i="29"/>
  <c r="F10" i="29"/>
  <c r="E10" i="29"/>
  <c r="D10" i="29"/>
  <c r="C10" i="29"/>
  <c r="F9" i="29"/>
  <c r="E9" i="29"/>
  <c r="D9" i="29"/>
  <c r="C9" i="29"/>
  <c r="F8" i="29"/>
  <c r="E8" i="29"/>
  <c r="D8" i="29"/>
  <c r="C8" i="29"/>
  <c r="F7" i="29"/>
  <c r="E7" i="29"/>
  <c r="D7" i="29"/>
  <c r="C7" i="29"/>
  <c r="F6" i="29"/>
  <c r="E6" i="29"/>
  <c r="D6" i="29"/>
  <c r="C6" i="29"/>
  <c r="F5" i="29"/>
  <c r="E5" i="29"/>
  <c r="D5" i="29"/>
  <c r="C5" i="29"/>
  <c r="F20" i="28"/>
  <c r="E20" i="28"/>
  <c r="D20" i="28"/>
  <c r="C20" i="28"/>
  <c r="F19" i="28"/>
  <c r="E19" i="28"/>
  <c r="D19" i="28"/>
  <c r="C19" i="28"/>
  <c r="F18" i="28"/>
  <c r="E18" i="28"/>
  <c r="D18" i="28"/>
  <c r="C18" i="28"/>
  <c r="F17" i="28"/>
  <c r="E17" i="28"/>
  <c r="D17" i="28"/>
  <c r="C17" i="28"/>
  <c r="C16" i="28"/>
  <c r="F15" i="28"/>
  <c r="E15" i="28"/>
  <c r="D15" i="28"/>
  <c r="C15" i="28"/>
  <c r="F14" i="28"/>
  <c r="E14" i="28"/>
  <c r="D14" i="28"/>
  <c r="C14" i="28"/>
  <c r="F13" i="28"/>
  <c r="E13" i="28"/>
  <c r="D13" i="28"/>
  <c r="C13" i="28"/>
  <c r="F12" i="28"/>
  <c r="E12" i="28"/>
  <c r="D12" i="28"/>
  <c r="C12" i="28"/>
  <c r="F11" i="28"/>
  <c r="E11" i="28"/>
  <c r="D11" i="28"/>
  <c r="C11" i="28"/>
  <c r="F10" i="28"/>
  <c r="E10" i="28"/>
  <c r="D10" i="28"/>
  <c r="C10" i="28"/>
  <c r="F9" i="28"/>
  <c r="E9" i="28"/>
  <c r="D9" i="28"/>
  <c r="C9" i="28"/>
  <c r="F8" i="28"/>
  <c r="E8" i="28"/>
  <c r="D8" i="28"/>
  <c r="C8" i="28"/>
  <c r="F7" i="28"/>
  <c r="E7" i="28"/>
  <c r="D7" i="28"/>
  <c r="C7" i="28"/>
  <c r="F6" i="28"/>
  <c r="E6" i="28"/>
  <c r="D6" i="28"/>
  <c r="C6" i="28"/>
  <c r="F5" i="28"/>
  <c r="E5" i="28"/>
  <c r="D5" i="28"/>
  <c r="C5" i="28"/>
  <c r="F20" i="27"/>
  <c r="E20" i="27"/>
  <c r="D20" i="27"/>
  <c r="C20" i="27"/>
  <c r="F19" i="27"/>
  <c r="E19" i="27"/>
  <c r="D19" i="27"/>
  <c r="C19" i="27"/>
  <c r="F18" i="27"/>
  <c r="E18" i="27"/>
  <c r="D18" i="27"/>
  <c r="C18" i="27"/>
  <c r="F17" i="27"/>
  <c r="E17" i="27"/>
  <c r="D17" i="27"/>
  <c r="C17" i="27"/>
  <c r="C16" i="27"/>
  <c r="F15" i="27"/>
  <c r="E15" i="27"/>
  <c r="D15" i="27"/>
  <c r="C15" i="27"/>
  <c r="F14" i="27"/>
  <c r="E14" i="27"/>
  <c r="D14" i="27"/>
  <c r="C14" i="27"/>
  <c r="F13" i="27"/>
  <c r="E13" i="27"/>
  <c r="D13" i="27"/>
  <c r="C13" i="27"/>
  <c r="F12" i="27"/>
  <c r="E12" i="27"/>
  <c r="D12" i="27"/>
  <c r="C12" i="27"/>
  <c r="F11" i="27"/>
  <c r="E11" i="27"/>
  <c r="D11" i="27"/>
  <c r="C11" i="27"/>
  <c r="F10" i="27"/>
  <c r="E10" i="27"/>
  <c r="D10" i="27"/>
  <c r="C10" i="27"/>
  <c r="F9" i="27"/>
  <c r="E9" i="27"/>
  <c r="D9" i="27"/>
  <c r="C9" i="27"/>
  <c r="F8" i="27"/>
  <c r="E8" i="27"/>
  <c r="D8" i="27"/>
  <c r="C8" i="27"/>
  <c r="F7" i="27"/>
  <c r="E7" i="27"/>
  <c r="D7" i="27"/>
  <c r="C7" i="27"/>
  <c r="F6" i="27"/>
  <c r="E6" i="27"/>
  <c r="D6" i="27"/>
  <c r="C6" i="27"/>
  <c r="F5" i="27"/>
  <c r="E5" i="27"/>
  <c r="D5" i="27"/>
  <c r="C5" i="27"/>
  <c r="F20" i="26"/>
  <c r="E20" i="26"/>
  <c r="D20" i="26"/>
  <c r="C20" i="26"/>
  <c r="F19" i="26"/>
  <c r="E19" i="26"/>
  <c r="D19" i="26"/>
  <c r="C19" i="26"/>
  <c r="F18" i="26"/>
  <c r="E18" i="26"/>
  <c r="D18" i="26"/>
  <c r="C18" i="26"/>
  <c r="F17" i="26"/>
  <c r="E17" i="26"/>
  <c r="D17" i="26"/>
  <c r="C17" i="26"/>
  <c r="C16" i="26"/>
  <c r="F15" i="26"/>
  <c r="E15" i="26"/>
  <c r="D15" i="26"/>
  <c r="C15" i="26"/>
  <c r="F14" i="26"/>
  <c r="E14" i="26"/>
  <c r="D14" i="26"/>
  <c r="C14" i="26"/>
  <c r="F13" i="26"/>
  <c r="E13" i="26"/>
  <c r="D13" i="26"/>
  <c r="C13" i="26"/>
  <c r="F12" i="26"/>
  <c r="E12" i="26"/>
  <c r="D12" i="26"/>
  <c r="C12" i="26"/>
  <c r="F11" i="26"/>
  <c r="E11" i="26"/>
  <c r="D11" i="26"/>
  <c r="C11" i="26"/>
  <c r="F10" i="26"/>
  <c r="E10" i="26"/>
  <c r="D10" i="26"/>
  <c r="C10" i="26"/>
  <c r="F9" i="26"/>
  <c r="E9" i="26"/>
  <c r="D9" i="26"/>
  <c r="C9" i="26"/>
  <c r="F8" i="26"/>
  <c r="E8" i="26"/>
  <c r="D8" i="26"/>
  <c r="C8" i="26"/>
  <c r="F7" i="26"/>
  <c r="E7" i="26"/>
  <c r="D7" i="26"/>
  <c r="C7" i="26"/>
  <c r="F6" i="26"/>
  <c r="E6" i="26"/>
  <c r="D6" i="26"/>
  <c r="C6" i="26"/>
  <c r="F5" i="26"/>
  <c r="E5" i="26"/>
  <c r="D5" i="26"/>
  <c r="C5" i="26"/>
  <c r="F17" i="24"/>
  <c r="E17" i="24"/>
  <c r="D17" i="24"/>
  <c r="C17" i="24"/>
  <c r="C16" i="24"/>
  <c r="F15" i="24"/>
  <c r="E15" i="24"/>
  <c r="D15" i="24"/>
  <c r="C15" i="24"/>
  <c r="F14" i="24"/>
  <c r="E14" i="24"/>
  <c r="D14" i="24"/>
  <c r="C14" i="24"/>
  <c r="F13" i="24"/>
  <c r="E13" i="24"/>
  <c r="D13" i="24"/>
  <c r="C13" i="24"/>
  <c r="F12" i="24"/>
  <c r="E12" i="24"/>
  <c r="D12" i="24"/>
  <c r="C12" i="24"/>
  <c r="F11" i="24"/>
  <c r="E11" i="24"/>
  <c r="D11" i="24"/>
  <c r="C11" i="24"/>
  <c r="F10" i="24"/>
  <c r="E10" i="24"/>
  <c r="D10" i="24"/>
  <c r="C10" i="24"/>
  <c r="F9" i="24"/>
  <c r="E9" i="24"/>
  <c r="D9" i="24"/>
  <c r="C9" i="24"/>
  <c r="F8" i="24"/>
  <c r="E8" i="24"/>
  <c r="D8" i="24"/>
  <c r="C8" i="24"/>
  <c r="F7" i="24"/>
  <c r="E7" i="24"/>
  <c r="D7" i="24"/>
  <c r="C7" i="24"/>
  <c r="F6" i="24"/>
  <c r="E6" i="24"/>
  <c r="D6" i="24"/>
  <c r="C6" i="24"/>
  <c r="F5" i="24"/>
  <c r="E5" i="24"/>
  <c r="D5" i="24"/>
  <c r="C5" i="24"/>
  <c r="O20" i="40" l="1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A6" i="40"/>
  <c r="A7" i="40" s="1"/>
  <c r="A8" i="40" s="1"/>
  <c r="A9" i="40" s="1"/>
  <c r="A10" i="40" s="1"/>
  <c r="A11" i="40" s="1"/>
  <c r="A12" i="40" s="1"/>
  <c r="A13" i="40" s="1"/>
  <c r="A14" i="40" s="1"/>
  <c r="A15" i="40" s="1"/>
  <c r="A16" i="40" s="1"/>
  <c r="A17" i="40" s="1"/>
  <c r="A18" i="40" s="1"/>
  <c r="A19" i="40" s="1"/>
  <c r="A20" i="40" s="1"/>
  <c r="O5" i="40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A6" i="41"/>
  <c r="A7" i="41" s="1"/>
  <c r="A8" i="41" s="1"/>
  <c r="A9" i="41" s="1"/>
  <c r="A10" i="41" s="1"/>
  <c r="A11" i="41" s="1"/>
  <c r="A12" i="41" s="1"/>
  <c r="A13" i="41" s="1"/>
  <c r="A14" i="41" s="1"/>
  <c r="A15" i="41" s="1"/>
  <c r="A16" i="41" s="1"/>
  <c r="A17" i="41" s="1"/>
  <c r="A18" i="41" s="1"/>
  <c r="A19" i="41" s="1"/>
  <c r="A20" i="41" s="1"/>
  <c r="O5" i="41"/>
  <c r="O20" i="56"/>
  <c r="O19" i="56"/>
  <c r="O18" i="56"/>
  <c r="O17" i="56"/>
  <c r="O16" i="56"/>
  <c r="O15" i="56"/>
  <c r="O14" i="56"/>
  <c r="O13" i="56"/>
  <c r="O12" i="56"/>
  <c r="O11" i="56"/>
  <c r="O10" i="56"/>
  <c r="O9" i="56"/>
  <c r="O8" i="56"/>
  <c r="O7" i="56"/>
  <c r="O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O5" i="56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A17" i="68" s="1"/>
  <c r="A18" i="68" s="1"/>
  <c r="A19" i="68" s="1"/>
  <c r="A20" i="68" s="1"/>
  <c r="O5" i="68"/>
  <c r="O20" i="69"/>
  <c r="O19" i="69"/>
  <c r="O18" i="69"/>
  <c r="O17" i="69"/>
  <c r="O16" i="69"/>
  <c r="O15" i="69"/>
  <c r="O14" i="69"/>
  <c r="O13" i="69"/>
  <c r="O12" i="69"/>
  <c r="O11" i="69"/>
  <c r="O10" i="69"/>
  <c r="O9" i="69"/>
  <c r="O8" i="69"/>
  <c r="O7" i="69"/>
  <c r="O6" i="69"/>
  <c r="A6" i="69"/>
  <c r="A7" i="69" s="1"/>
  <c r="A8" i="69" s="1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O5" i="69"/>
  <c r="O20" i="70"/>
  <c r="O19" i="70"/>
  <c r="O18" i="70"/>
  <c r="O17" i="70"/>
  <c r="O16" i="70"/>
  <c r="O15" i="70"/>
  <c r="O14" i="70"/>
  <c r="O13" i="70"/>
  <c r="O12" i="70"/>
  <c r="O11" i="70"/>
  <c r="O10" i="70"/>
  <c r="O9" i="70"/>
  <c r="O8" i="70"/>
  <c r="O7" i="70"/>
  <c r="O6" i="70"/>
  <c r="A6" i="70"/>
  <c r="A7" i="70" s="1"/>
  <c r="A8" i="70" s="1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O5" i="70"/>
  <c r="O20" i="71"/>
  <c r="O19" i="71"/>
  <c r="O18" i="71"/>
  <c r="O17" i="71"/>
  <c r="O16" i="71"/>
  <c r="O15" i="71"/>
  <c r="O14" i="71"/>
  <c r="O13" i="71"/>
  <c r="O12" i="71"/>
  <c r="O11" i="71"/>
  <c r="O10" i="71"/>
  <c r="O9" i="71"/>
  <c r="O8" i="71"/>
  <c r="O7" i="71"/>
  <c r="O6" i="71"/>
  <c r="A6" i="71"/>
  <c r="A7" i="71" s="1"/>
  <c r="A8" i="71" s="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O5" i="71"/>
  <c r="O20" i="72"/>
  <c r="O19" i="72"/>
  <c r="O18" i="72"/>
  <c r="O17" i="72"/>
  <c r="O16" i="72"/>
  <c r="O15" i="72"/>
  <c r="O14" i="72"/>
  <c r="O13" i="72"/>
  <c r="O12" i="72"/>
  <c r="O11" i="72"/>
  <c r="O10" i="72"/>
  <c r="O9" i="72"/>
  <c r="O8" i="72"/>
  <c r="O7" i="72"/>
  <c r="O6" i="72"/>
  <c r="A6" i="72"/>
  <c r="A7" i="72" s="1"/>
  <c r="A8" i="72" s="1"/>
  <c r="A9" i="72" s="1"/>
  <c r="A10" i="72" s="1"/>
  <c r="A11" i="72" s="1"/>
  <c r="A12" i="72" s="1"/>
  <c r="A13" i="72" s="1"/>
  <c r="A14" i="72" s="1"/>
  <c r="A15" i="72" s="1"/>
  <c r="A16" i="72" s="1"/>
  <c r="A17" i="72" s="1"/>
  <c r="A18" i="72" s="1"/>
  <c r="A19" i="72" s="1"/>
  <c r="A20" i="72" s="1"/>
  <c r="O5" i="72"/>
  <c r="O20" i="73"/>
  <c r="O19" i="73"/>
  <c r="O18" i="73"/>
  <c r="O17" i="73"/>
  <c r="O16" i="73"/>
  <c r="O15" i="73"/>
  <c r="O14" i="73"/>
  <c r="O13" i="73"/>
  <c r="O12" i="73"/>
  <c r="O11" i="73"/>
  <c r="O10" i="73"/>
  <c r="O9" i="73"/>
  <c r="O8" i="73"/>
  <c r="O7" i="73"/>
  <c r="O6" i="73"/>
  <c r="A6" i="73"/>
  <c r="A7" i="73" s="1"/>
  <c r="A8" i="73" s="1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O5" i="73"/>
  <c r="O20" i="74"/>
  <c r="O19" i="74"/>
  <c r="O18" i="74"/>
  <c r="O17" i="74"/>
  <c r="O16" i="74"/>
  <c r="O15" i="74"/>
  <c r="O14" i="74"/>
  <c r="O13" i="74"/>
  <c r="O12" i="74"/>
  <c r="O11" i="74"/>
  <c r="O10" i="74"/>
  <c r="O9" i="74"/>
  <c r="O8" i="74"/>
  <c r="O7" i="74"/>
  <c r="O6" i="74"/>
  <c r="A6" i="74"/>
  <c r="A7" i="74" s="1"/>
  <c r="A8" i="74" s="1"/>
  <c r="A9" i="74" s="1"/>
  <c r="A10" i="74" s="1"/>
  <c r="A11" i="74" s="1"/>
  <c r="A12" i="74" s="1"/>
  <c r="A13" i="74" s="1"/>
  <c r="A14" i="74" s="1"/>
  <c r="A15" i="74" s="1"/>
  <c r="A16" i="74" s="1"/>
  <c r="A17" i="74" s="1"/>
  <c r="A18" i="74" s="1"/>
  <c r="A19" i="74" s="1"/>
  <c r="A20" i="74" s="1"/>
  <c r="O5" i="74"/>
  <c r="O20" i="75"/>
  <c r="O19" i="75"/>
  <c r="O18" i="75"/>
  <c r="O17" i="75"/>
  <c r="O16" i="75"/>
  <c r="O15" i="75"/>
  <c r="O14" i="75"/>
  <c r="O13" i="75"/>
  <c r="O12" i="75"/>
  <c r="O11" i="75"/>
  <c r="O10" i="75"/>
  <c r="O9" i="75"/>
  <c r="O8" i="75"/>
  <c r="O7" i="75"/>
  <c r="O6" i="75"/>
  <c r="A6" i="75"/>
  <c r="A7" i="75" s="1"/>
  <c r="A8" i="75" s="1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O5" i="75"/>
  <c r="O20" i="76"/>
  <c r="O19" i="76"/>
  <c r="O18" i="76"/>
  <c r="O17" i="76"/>
  <c r="O16" i="76"/>
  <c r="O15" i="76"/>
  <c r="O14" i="76"/>
  <c r="O13" i="76"/>
  <c r="O12" i="76"/>
  <c r="O11" i="76"/>
  <c r="O10" i="76"/>
  <c r="O9" i="76"/>
  <c r="O8" i="76"/>
  <c r="O7" i="76"/>
  <c r="O6" i="76"/>
  <c r="A6" i="76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O5" i="76"/>
  <c r="O20" i="77"/>
  <c r="O19" i="77"/>
  <c r="O18" i="77"/>
  <c r="O17" i="77"/>
  <c r="O16" i="77"/>
  <c r="O15" i="77"/>
  <c r="O14" i="77"/>
  <c r="O13" i="77"/>
  <c r="O12" i="77"/>
  <c r="O11" i="77"/>
  <c r="O10" i="77"/>
  <c r="O9" i="77"/>
  <c r="O8" i="77"/>
  <c r="O7" i="77"/>
  <c r="O6" i="77"/>
  <c r="A6" i="77"/>
  <c r="A7" i="77" s="1"/>
  <c r="A8" i="77" s="1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O5" i="77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A6" i="78"/>
  <c r="A7" i="78" s="1"/>
  <c r="A8" i="78" s="1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O5" i="78"/>
  <c r="O20" i="80"/>
  <c r="O19" i="80"/>
  <c r="O18" i="80"/>
  <c r="O17" i="80"/>
  <c r="O16" i="80"/>
  <c r="O15" i="80"/>
  <c r="O14" i="80"/>
  <c r="O13" i="80"/>
  <c r="O12" i="80"/>
  <c r="O11" i="80"/>
  <c r="O10" i="80"/>
  <c r="O9" i="80"/>
  <c r="O8" i="80"/>
  <c r="O7" i="80"/>
  <c r="O6" i="80"/>
  <c r="A6" i="80"/>
  <c r="A7" i="80" s="1"/>
  <c r="A8" i="80" s="1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O5" i="80"/>
  <c r="O20" i="79"/>
  <c r="O19" i="79"/>
  <c r="O18" i="79"/>
  <c r="O17" i="79"/>
  <c r="O16" i="79"/>
  <c r="O15" i="79"/>
  <c r="O14" i="79"/>
  <c r="O13" i="79"/>
  <c r="O12" i="79"/>
  <c r="O11" i="79"/>
  <c r="O10" i="79"/>
  <c r="O9" i="79"/>
  <c r="O8" i="79"/>
  <c r="O7" i="79"/>
  <c r="O6" i="79"/>
  <c r="A6" i="79"/>
  <c r="A7" i="79" s="1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O5" i="79"/>
  <c r="O7" i="27"/>
  <c r="O7" i="24"/>
  <c r="D2" i="80" l="1"/>
  <c r="D2" i="79"/>
  <c r="D2" i="78"/>
  <c r="D2" i="77"/>
  <c r="D2" i="76"/>
  <c r="D2" i="75"/>
  <c r="D2" i="74"/>
  <c r="D2" i="73"/>
  <c r="D2" i="72"/>
  <c r="D2" i="71"/>
  <c r="D2" i="70"/>
  <c r="D2" i="69"/>
  <c r="D2" i="68"/>
  <c r="D2" i="56"/>
  <c r="D2" i="41"/>
  <c r="D2" i="40"/>
  <c r="D2" i="39"/>
  <c r="D2" i="38"/>
  <c r="D2" i="37"/>
  <c r="D2" i="36"/>
  <c r="D2" i="35"/>
  <c r="D2" i="34"/>
  <c r="D2" i="33"/>
  <c r="D2" i="32"/>
  <c r="D2" i="31"/>
  <c r="D2" i="30"/>
  <c r="D2" i="29"/>
  <c r="D2" i="28"/>
  <c r="D2" i="27"/>
  <c r="D2" i="26"/>
  <c r="A9" i="24" l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O20" i="39" l="1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A6" i="39"/>
  <c r="O5" i="39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A6" i="38"/>
  <c r="O5" i="38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A6" i="37"/>
  <c r="O5" i="37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A6" i="36"/>
  <c r="A7" i="36" s="1"/>
  <c r="A8" i="36" s="1"/>
  <c r="A9" i="36" s="1"/>
  <c r="A10" i="36" s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O5" i="36"/>
  <c r="O21" i="35"/>
  <c r="F21" i="35"/>
  <c r="E21" i="35"/>
  <c r="D21" i="35"/>
  <c r="C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A6" i="35"/>
  <c r="A7" i="35" s="1"/>
  <c r="O5" i="35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A6" i="34"/>
  <c r="O5" i="34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A6" i="33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O5" i="33"/>
  <c r="O20" i="32"/>
  <c r="O19" i="32"/>
  <c r="O18" i="32"/>
  <c r="O17" i="32"/>
  <c r="O16" i="32"/>
  <c r="O15" i="32"/>
  <c r="O14" i="32"/>
  <c r="O13" i="32"/>
  <c r="O12" i="32"/>
  <c r="O11" i="32"/>
  <c r="O10" i="32"/>
  <c r="O9" i="32"/>
  <c r="O8" i="32"/>
  <c r="O7" i="32"/>
  <c r="O6" i="32"/>
  <c r="A6" i="32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O5" i="32"/>
  <c r="O20" i="31"/>
  <c r="O19" i="31"/>
  <c r="O18" i="31"/>
  <c r="O17" i="31"/>
  <c r="O16" i="31"/>
  <c r="O15" i="31"/>
  <c r="O14" i="31"/>
  <c r="O13" i="31"/>
  <c r="O12" i="31"/>
  <c r="O11" i="31"/>
  <c r="O10" i="31"/>
  <c r="O9" i="31"/>
  <c r="O8" i="31"/>
  <c r="O7" i="31"/>
  <c r="O6" i="31"/>
  <c r="A6" i="31"/>
  <c r="O5" i="31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A6" i="30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O5" i="30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A6" i="29"/>
  <c r="O5" i="29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A6" i="28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O5" i="28"/>
  <c r="O20" i="27"/>
  <c r="O19" i="27"/>
  <c r="O18" i="27"/>
  <c r="O17" i="27"/>
  <c r="O16" i="27"/>
  <c r="O15" i="27"/>
  <c r="O14" i="27"/>
  <c r="O13" i="27"/>
  <c r="O12" i="27"/>
  <c r="O11" i="27"/>
  <c r="O10" i="27"/>
  <c r="O9" i="27"/>
  <c r="O8" i="27"/>
  <c r="O6" i="27"/>
  <c r="A6" i="27"/>
  <c r="O5" i="27"/>
  <c r="O20" i="26"/>
  <c r="O19" i="26"/>
  <c r="O18" i="26"/>
  <c r="O17" i="26"/>
  <c r="O16" i="26"/>
  <c r="O15" i="26"/>
  <c r="O14" i="26"/>
  <c r="O13" i="26"/>
  <c r="O12" i="26"/>
  <c r="O11" i="26"/>
  <c r="O10" i="26"/>
  <c r="O9" i="26"/>
  <c r="O8" i="26"/>
  <c r="O7" i="26"/>
  <c r="O6" i="26"/>
  <c r="A6" i="26"/>
  <c r="O5" i="26"/>
  <c r="O20" i="24"/>
  <c r="F20" i="24"/>
  <c r="E20" i="24"/>
  <c r="D20" i="24"/>
  <c r="C20" i="24"/>
  <c r="O19" i="24"/>
  <c r="F19" i="24"/>
  <c r="E19" i="24"/>
  <c r="D19" i="24"/>
  <c r="C19" i="24"/>
  <c r="O18" i="24"/>
  <c r="F18" i="24"/>
  <c r="E18" i="24"/>
  <c r="D18" i="24"/>
  <c r="C18" i="24"/>
  <c r="O17" i="24"/>
  <c r="O16" i="24"/>
  <c r="O15" i="24"/>
  <c r="O14" i="24"/>
  <c r="O13" i="24"/>
  <c r="O12" i="24"/>
  <c r="O11" i="24"/>
  <c r="O10" i="24"/>
  <c r="O9" i="24"/>
  <c r="O8" i="24"/>
  <c r="O6" i="24"/>
  <c r="A6" i="24"/>
  <c r="O5" i="24"/>
  <c r="A7" i="34" l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7" i="39"/>
  <c r="A8" i="39" s="1"/>
  <c r="A9" i="39" s="1"/>
  <c r="A10" i="39" s="1"/>
  <c r="A11" i="39" s="1"/>
  <c r="A12" i="39" s="1"/>
  <c r="A13" i="39" s="1"/>
  <c r="A14" i="39" s="1"/>
  <c r="A15" i="39" s="1"/>
  <c r="A16" i="39" s="1"/>
  <c r="A17" i="39" s="1"/>
  <c r="A18" i="39" s="1"/>
  <c r="A19" i="39" s="1"/>
  <c r="A20" i="39" s="1"/>
  <c r="A7" i="29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7" i="27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7" i="37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7" i="3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8" i="35"/>
  <c r="A9" i="35" s="1"/>
  <c r="A10" i="35" s="1"/>
  <c r="A11" i="35" s="1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7" i="38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</calcChain>
</file>

<file path=xl/sharedStrings.xml><?xml version="1.0" encoding="utf-8"?>
<sst xmlns="http://schemas.openxmlformats.org/spreadsheetml/2006/main" count="2478" uniqueCount="216">
  <si>
    <t>Asignacion y uso de Vehiculos Livianos</t>
  </si>
  <si>
    <t>FECHA</t>
  </si>
  <si>
    <t>Salida</t>
  </si>
  <si>
    <t>Llegada</t>
  </si>
  <si>
    <t>Interno</t>
  </si>
  <si>
    <t>Tipo</t>
  </si>
  <si>
    <t>Marca</t>
  </si>
  <si>
    <t>Modelo</t>
  </si>
  <si>
    <t>Personal Asignado</t>
  </si>
  <si>
    <t>Lugar</t>
  </si>
  <si>
    <t>Horario</t>
  </si>
  <si>
    <t>Uso</t>
  </si>
  <si>
    <t>Observaciones</t>
  </si>
  <si>
    <t>Estado</t>
  </si>
  <si>
    <t>GDU001</t>
  </si>
  <si>
    <t>Base</t>
  </si>
  <si>
    <t>GDU002</t>
  </si>
  <si>
    <t>GDU011</t>
  </si>
  <si>
    <t>GDU053</t>
  </si>
  <si>
    <t>GDU061</t>
  </si>
  <si>
    <t>GDU055</t>
  </si>
  <si>
    <t>GDU056</t>
  </si>
  <si>
    <t>GDU057</t>
  </si>
  <si>
    <t>GDU064</t>
  </si>
  <si>
    <t>GDU065</t>
  </si>
  <si>
    <t>GDU063</t>
  </si>
  <si>
    <t xml:space="preserve">RENAULT </t>
  </si>
  <si>
    <t>KANGOO</t>
  </si>
  <si>
    <t>AF677IV</t>
  </si>
  <si>
    <t>GDU000</t>
  </si>
  <si>
    <t>AÑO</t>
  </si>
  <si>
    <t>MES</t>
  </si>
  <si>
    <t>DIA</t>
  </si>
  <si>
    <t xml:space="preserve">Salvo Jonathan Nicolas </t>
  </si>
  <si>
    <t>Barreto Braian Jose</t>
  </si>
  <si>
    <t>Arocha Sergio Anibal</t>
  </si>
  <si>
    <t>Vega Jorge Luis</t>
  </si>
  <si>
    <t>Cano Pablo Martin</t>
  </si>
  <si>
    <t>Vazquez David Gabriel</t>
  </si>
  <si>
    <t>Gonzalez Molinas Juan Alberto</t>
  </si>
  <si>
    <t>Nappi Juan Manuel</t>
  </si>
  <si>
    <t xml:space="preserve">Bordones Requena Jordan </t>
  </si>
  <si>
    <t>Campos Fernandez Jose Antonio</t>
  </si>
  <si>
    <t>Acosta Daniel Horacio</t>
  </si>
  <si>
    <t>Jimenez Manuel Ernesto</t>
  </si>
  <si>
    <t xml:space="preserve">Nappi Kevin Ezequiel </t>
  </si>
  <si>
    <t>CRISTOFER PABLO</t>
  </si>
  <si>
    <t>EHINGEN</t>
  </si>
  <si>
    <t>Cuevas Miguel Hector</t>
  </si>
  <si>
    <t>Hermoso Camacho Roberto Rafael</t>
  </si>
  <si>
    <t>Barrionuevo Claudio Andres</t>
  </si>
  <si>
    <t>GDU100</t>
  </si>
  <si>
    <t>Codigo</t>
  </si>
  <si>
    <t>Razon Social</t>
  </si>
  <si>
    <t>Empresa</t>
  </si>
  <si>
    <t>Cuit</t>
  </si>
  <si>
    <t>Fecha de Cierre Contable</t>
  </si>
  <si>
    <t>GDE01</t>
  </si>
  <si>
    <t>Gruas Daniele SRL</t>
  </si>
  <si>
    <t>30-70755850-0</t>
  </si>
  <si>
    <t>GDE02</t>
  </si>
  <si>
    <t>Daniele Edgardo Rodolfo</t>
  </si>
  <si>
    <t>Transportes Daniele</t>
  </si>
  <si>
    <t>20-17196140-9</t>
  </si>
  <si>
    <t>GDE03</t>
  </si>
  <si>
    <t>Daniele Nicolas Marvin</t>
  </si>
  <si>
    <t>Movimientos Industriales Oeste</t>
  </si>
  <si>
    <t>20-93759578-7</t>
  </si>
  <si>
    <t>GDE04</t>
  </si>
  <si>
    <t>Daniele Calvin y Daniele Jayson SH</t>
  </si>
  <si>
    <t>Universal Cranes</t>
  </si>
  <si>
    <t>30-71218531-3</t>
  </si>
  <si>
    <t>GDE05</t>
  </si>
  <si>
    <t>Ehingen Service SRL</t>
  </si>
  <si>
    <t>30-71410111-7</t>
  </si>
  <si>
    <t>GDE06</t>
  </si>
  <si>
    <t>West Group SH</t>
  </si>
  <si>
    <t>30-71084691-6</t>
  </si>
  <si>
    <t>GDE07</t>
  </si>
  <si>
    <t>Daniele Jayson Edgar</t>
  </si>
  <si>
    <t>20-93759576-0</t>
  </si>
  <si>
    <t>GDE08</t>
  </si>
  <si>
    <t>Game Rental SRL</t>
  </si>
  <si>
    <t>30-71533904-4</t>
  </si>
  <si>
    <t>GDE09</t>
  </si>
  <si>
    <t>LH Group SH</t>
  </si>
  <si>
    <t>30-71527320-5</t>
  </si>
  <si>
    <t xml:space="preserve">a definir </t>
  </si>
  <si>
    <t>GDE020</t>
  </si>
  <si>
    <t>Salomon Silvana</t>
  </si>
  <si>
    <t>Seleccione Estado</t>
  </si>
  <si>
    <t>En ejecucion</t>
  </si>
  <si>
    <t>A confirmar</t>
  </si>
  <si>
    <t>Finalizado</t>
  </si>
  <si>
    <t>Seleccione Gestion</t>
  </si>
  <si>
    <t>PERMISO CORTE</t>
  </si>
  <si>
    <t>TRASLADO CARRETON</t>
  </si>
  <si>
    <t>OTROS</t>
  </si>
  <si>
    <t>GDL001</t>
  </si>
  <si>
    <t>GDL002</t>
  </si>
  <si>
    <t>Casona</t>
  </si>
  <si>
    <t>GDL003</t>
  </si>
  <si>
    <t>Concesionario</t>
  </si>
  <si>
    <t>GDL004</t>
  </si>
  <si>
    <t xml:space="preserve">Domicilio </t>
  </si>
  <si>
    <t>GDL005</t>
  </si>
  <si>
    <t>Otros</t>
  </si>
  <si>
    <t>GDL006</t>
  </si>
  <si>
    <t>Selección Lugar</t>
  </si>
  <si>
    <t>GDL007</t>
  </si>
  <si>
    <t>Mantenimiento</t>
  </si>
  <si>
    <t>GDL008</t>
  </si>
  <si>
    <t>Taller Externo</t>
  </si>
  <si>
    <t>GDL016</t>
  </si>
  <si>
    <t>Almaraz Dominguez Ricardo</t>
  </si>
  <si>
    <t>GDL010</t>
  </si>
  <si>
    <t>Almiron Cristian</t>
  </si>
  <si>
    <t>GDL068</t>
  </si>
  <si>
    <t>Benitez Pablo Martin</t>
  </si>
  <si>
    <t>GDL090</t>
  </si>
  <si>
    <t>Cabrera Hugo Daniel</t>
  </si>
  <si>
    <t>GDL060</t>
  </si>
  <si>
    <t>Caminatti Luis</t>
  </si>
  <si>
    <t xml:space="preserve">Hard Norton Rental SRL </t>
  </si>
  <si>
    <t>Cano Aldo Ruben</t>
  </si>
  <si>
    <t>GDL047</t>
  </si>
  <si>
    <t>Chavez Carlos Cesar</t>
  </si>
  <si>
    <t>GDL032</t>
  </si>
  <si>
    <t>Ciocca Maria Florencia</t>
  </si>
  <si>
    <t>GDL017</t>
  </si>
  <si>
    <t>Daniele Calvin Max</t>
  </si>
  <si>
    <t>GDL901</t>
  </si>
  <si>
    <t>Daniele Edgardo</t>
  </si>
  <si>
    <t>GDL900</t>
  </si>
  <si>
    <t>GDL902</t>
  </si>
  <si>
    <t xml:space="preserve">Daniele Nicolas Marvin </t>
  </si>
  <si>
    <t>GDL903</t>
  </si>
  <si>
    <t>De Felippe Miguel</t>
  </si>
  <si>
    <t>Frano Gabriela Vanesa</t>
  </si>
  <si>
    <t>Fuentes Jorge</t>
  </si>
  <si>
    <t>GDL052</t>
  </si>
  <si>
    <t>Gaitano Gerardo Ruben</t>
  </si>
  <si>
    <t>GDL050</t>
  </si>
  <si>
    <t>Giambroni Alberto Martin</t>
  </si>
  <si>
    <t>GDL019</t>
  </si>
  <si>
    <t>Giambroni Sergio Leonardo</t>
  </si>
  <si>
    <t>GDL033</t>
  </si>
  <si>
    <t>GDL071</t>
  </si>
  <si>
    <t>Graboviesky Javier Francisco</t>
  </si>
  <si>
    <t>GDL028</t>
  </si>
  <si>
    <t>GDL066</t>
  </si>
  <si>
    <t>Ibañez Manuel</t>
  </si>
  <si>
    <t xml:space="preserve">Ibiri Jose </t>
  </si>
  <si>
    <t>GDU087</t>
  </si>
  <si>
    <t xml:space="preserve">Ledesma Daniel Ramon </t>
  </si>
  <si>
    <t>Molina Dario Walter</t>
  </si>
  <si>
    <t>GDL029</t>
  </si>
  <si>
    <t>Molina Rodrigo</t>
  </si>
  <si>
    <t>GDL088</t>
  </si>
  <si>
    <t>Montenegro Mariano</t>
  </si>
  <si>
    <t>GDL043</t>
  </si>
  <si>
    <t>Montenegro Matias</t>
  </si>
  <si>
    <t>GDL036</t>
  </si>
  <si>
    <t xml:space="preserve">Pais Abel </t>
  </si>
  <si>
    <t>GDL116</t>
  </si>
  <si>
    <t>Pereyra Cristian Javier</t>
  </si>
  <si>
    <t>GDL022</t>
  </si>
  <si>
    <t>Pereyra Machado Fernando</t>
  </si>
  <si>
    <t>Recines Alejandro</t>
  </si>
  <si>
    <t>GDL905</t>
  </si>
  <si>
    <t xml:space="preserve">Rios Franco Andres </t>
  </si>
  <si>
    <t>Sucheñia  Lucas Abel</t>
  </si>
  <si>
    <t>Toloza Lucas</t>
  </si>
  <si>
    <t>GDL074</t>
  </si>
  <si>
    <t xml:space="preserve">Torres Franco Nicolas </t>
  </si>
  <si>
    <t>Trovato Carlos Alberto</t>
  </si>
  <si>
    <t>GDL014</t>
  </si>
  <si>
    <t>GDL031</t>
  </si>
  <si>
    <t xml:space="preserve">Zyrak Nicolas Javier </t>
  </si>
  <si>
    <t>GDL015</t>
  </si>
  <si>
    <t>GD Listado de Equipos</t>
  </si>
  <si>
    <t>#</t>
  </si>
  <si>
    <t>Nuevo Interno</t>
  </si>
  <si>
    <t>Patente</t>
  </si>
  <si>
    <t>Selecciona Equipo</t>
  </si>
  <si>
    <t>Liviano</t>
  </si>
  <si>
    <t>FIAT</t>
  </si>
  <si>
    <t xml:space="preserve">UNO </t>
  </si>
  <si>
    <t>EYI 197</t>
  </si>
  <si>
    <t>ODQ 087</t>
  </si>
  <si>
    <t xml:space="preserve">CHEVROLET </t>
  </si>
  <si>
    <t>CELTA</t>
  </si>
  <si>
    <t>MEE 670</t>
  </si>
  <si>
    <t>FIORINO</t>
  </si>
  <si>
    <t>MHX 920</t>
  </si>
  <si>
    <t>VOLKSWAGEN</t>
  </si>
  <si>
    <t>AMAROK</t>
  </si>
  <si>
    <t>OGZ 054</t>
  </si>
  <si>
    <t>AA 087 LA</t>
  </si>
  <si>
    <t>NZF 438</t>
  </si>
  <si>
    <t>GDU058</t>
  </si>
  <si>
    <t>LIFAN</t>
  </si>
  <si>
    <t>FOISON CARGO</t>
  </si>
  <si>
    <t>AB 722 RN</t>
  </si>
  <si>
    <t>RENAULT</t>
  </si>
  <si>
    <t>AF 677 IV</t>
  </si>
  <si>
    <t>TOYOTA</t>
  </si>
  <si>
    <t>HILUX</t>
  </si>
  <si>
    <t>AD761JW</t>
  </si>
  <si>
    <t>STRADA</t>
  </si>
  <si>
    <t>AH210SR</t>
  </si>
  <si>
    <t>AH255OH</t>
  </si>
  <si>
    <t xml:space="preserve">Camion </t>
  </si>
  <si>
    <t>KIA</t>
  </si>
  <si>
    <t>K2500</t>
  </si>
  <si>
    <t>ONT 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</si>
</sst>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dd\-mmm\-yyyy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20"/>
      <color rgb="FF00B050"/>
      <name val="Calibri"/>
      <family val="2"/>
      <scheme val="minor"/>
    </font>
    <font>
      <i/>
      <sz val="14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8"/>
      <color rgb="FF00B0F0"/>
      <name val="Calibri"/>
      <family val="2"/>
      <scheme val="minor"/>
    </font>
    <font>
      <i/>
      <sz val="14"/>
      <color theme="0"/>
      <name val="Calibri"/>
      <family val="2"/>
      <scheme val="minor"/>
    </font>
    <font>
      <i/>
      <sz val="14"/>
      <color rgb="FF0070C0"/>
      <name val="Calibri"/>
      <family val="2"/>
      <scheme val="minor"/>
    </font>
    <font>
      <b/>
      <i/>
      <sz val="22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i/>
      <sz val="24"/>
      <color rgb="FF0070C0"/>
      <name val="Calibri"/>
      <family val="2"/>
      <scheme val="minor"/>
    </font>
    <font>
      <b/>
      <i/>
      <sz val="20"/>
      <color rgb="FF0070C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i/>
      <sz val="16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70">
    <xf numFmtId="0" fontId="0" fillId="0" borderId="0" xfId="0"/>
    <xf numFmtId="0" fontId="4" fillId="2" borderId="0" xfId="0" applyFont="1" applyFill="1"/>
    <xf numFmtId="0" fontId="4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0" fontId="15" fillId="0" borderId="0" xfId="0" applyFont="1"/>
    <xf numFmtId="20" fontId="12" fillId="0" borderId="0" xfId="0" applyNumberFormat="1" applyFont="1"/>
    <xf numFmtId="0" fontId="16" fillId="0" borderId="0" xfId="0" applyFont="1" applyAlignment="1">
      <alignment horizontal="center"/>
    </xf>
    <xf numFmtId="0" fontId="17" fillId="0" borderId="0" xfId="1" applyFont="1" applyAlignment="1" applyProtection="1">
      <alignment horizontal="center"/>
      <protection locked="0"/>
    </xf>
    <xf numFmtId="165" fontId="17" fillId="4" borderId="0" xfId="1" applyNumberFormat="1" applyFont="1" applyFill="1" applyAlignment="1" applyProtection="1">
      <alignment horizontal="center"/>
      <protection locked="0"/>
    </xf>
    <xf numFmtId="0" fontId="18" fillId="5" borderId="0" xfId="0" applyFont="1" applyFill="1" applyAlignment="1">
      <alignment horizontal="center"/>
    </xf>
    <xf numFmtId="0" fontId="18" fillId="5" borderId="3" xfId="0" applyFont="1" applyFill="1" applyBorder="1" applyAlignment="1">
      <alignment horizontal="center"/>
    </xf>
    <xf numFmtId="20" fontId="18" fillId="5" borderId="4" xfId="0" applyNumberFormat="1" applyFont="1" applyFill="1" applyBorder="1" applyAlignment="1">
      <alignment horizontal="center"/>
    </xf>
    <xf numFmtId="20" fontId="18" fillId="5" borderId="6" xfId="0" applyNumberFormat="1" applyFont="1" applyFill="1" applyBorder="1" applyAlignment="1">
      <alignment horizontal="center"/>
    </xf>
    <xf numFmtId="0" fontId="18" fillId="5" borderId="7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16" fontId="7" fillId="0" borderId="0" xfId="0" applyNumberFormat="1" applyFont="1"/>
    <xf numFmtId="0" fontId="7" fillId="0" borderId="0" xfId="0" applyFont="1"/>
    <xf numFmtId="0" fontId="5" fillId="7" borderId="0" xfId="0" applyFont="1" applyFill="1"/>
    <xf numFmtId="0" fontId="7" fillId="7" borderId="0" xfId="0" applyFont="1" applyFill="1"/>
    <xf numFmtId="0" fontId="5" fillId="8" borderId="0" xfId="0" applyFont="1" applyFill="1"/>
    <xf numFmtId="0" fontId="7" fillId="8" borderId="0" xfId="0" applyFont="1" applyFill="1"/>
    <xf numFmtId="0" fontId="5" fillId="3" borderId="0" xfId="0" applyFont="1" applyFill="1"/>
    <xf numFmtId="0" fontId="7" fillId="3" borderId="0" xfId="0" applyFont="1" applyFill="1"/>
    <xf numFmtId="0" fontId="5" fillId="9" borderId="0" xfId="0" applyFont="1" applyFill="1"/>
    <xf numFmtId="0" fontId="7" fillId="9" borderId="0" xfId="0" applyFont="1" applyFill="1"/>
    <xf numFmtId="0" fontId="5" fillId="10" borderId="0" xfId="0" applyFont="1" applyFill="1"/>
    <xf numFmtId="0" fontId="7" fillId="10" borderId="0" xfId="0" applyFont="1" applyFill="1"/>
    <xf numFmtId="0" fontId="22" fillId="6" borderId="10" xfId="1" applyFont="1" applyFill="1" applyBorder="1" applyAlignment="1" applyProtection="1">
      <alignment horizontal="center"/>
      <protection locked="0"/>
    </xf>
    <xf numFmtId="0" fontId="6" fillId="11" borderId="10" xfId="0" applyFont="1" applyFill="1" applyBorder="1" applyAlignment="1">
      <alignment horizontal="center"/>
    </xf>
    <xf numFmtId="0" fontId="10" fillId="7" borderId="10" xfId="0" applyFont="1" applyFill="1" applyBorder="1" applyProtection="1">
      <protection locked="0"/>
    </xf>
    <xf numFmtId="0" fontId="20" fillId="4" borderId="12" xfId="1" applyFont="1" applyFill="1" applyBorder="1" applyAlignment="1" applyProtection="1">
      <alignment horizontal="center"/>
      <protection locked="0"/>
    </xf>
    <xf numFmtId="0" fontId="23" fillId="0" borderId="7" xfId="1" applyFont="1" applyBorder="1"/>
    <xf numFmtId="0" fontId="12" fillId="11" borderId="7" xfId="0" applyFont="1" applyFill="1" applyBorder="1" applyAlignment="1" applyProtection="1">
      <alignment horizontal="center" wrapText="1"/>
      <protection locked="0"/>
    </xf>
    <xf numFmtId="0" fontId="12" fillId="11" borderId="8" xfId="0" applyFont="1" applyFill="1" applyBorder="1" applyAlignment="1" applyProtection="1">
      <alignment horizontal="center" wrapText="1"/>
      <protection locked="0"/>
    </xf>
    <xf numFmtId="0" fontId="12" fillId="11" borderId="11" xfId="0" applyFont="1" applyFill="1" applyBorder="1" applyAlignment="1" applyProtection="1">
      <alignment horizontal="center" wrapText="1"/>
      <protection locked="0"/>
    </xf>
    <xf numFmtId="20" fontId="12" fillId="11" borderId="7" xfId="0" applyNumberFormat="1" applyFont="1" applyFill="1" applyBorder="1" applyProtection="1">
      <protection locked="0"/>
    </xf>
    <xf numFmtId="0" fontId="21" fillId="0" borderId="0" xfId="0" applyFont="1" applyAlignment="1">
      <alignment horizontal="left" wrapText="1"/>
    </xf>
    <xf numFmtId="0" fontId="4" fillId="0" borderId="0" xfId="2" applyFont="1" applyAlignment="1">
      <alignment horizontal="left"/>
    </xf>
    <xf numFmtId="0" fontId="8" fillId="0" borderId="0" xfId="2" applyFont="1" applyAlignment="1">
      <alignment horizontal="left"/>
    </xf>
    <xf numFmtId="0" fontId="6" fillId="0" borderId="0" xfId="4" applyFont="1" applyAlignment="1">
      <alignment horizontal="left"/>
    </xf>
    <xf numFmtId="0" fontId="9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2" applyFont="1" applyAlignment="1">
      <alignment horizontal="left"/>
    </xf>
    <xf numFmtId="164" fontId="19" fillId="0" borderId="0" xfId="0" applyNumberFormat="1" applyFont="1" applyAlignment="1">
      <alignment horizontal="center"/>
    </xf>
    <xf numFmtId="164" fontId="18" fillId="6" borderId="8" xfId="0" applyNumberFormat="1" applyFont="1" applyFill="1" applyBorder="1" applyAlignment="1">
      <alignment horizontal="center"/>
    </xf>
    <xf numFmtId="0" fontId="18" fillId="6" borderId="8" xfId="0" applyFont="1" applyFill="1" applyBorder="1" applyAlignment="1">
      <alignment horizontal="center"/>
    </xf>
    <xf numFmtId="0" fontId="12" fillId="0" borderId="8" xfId="0" applyFont="1" applyBorder="1" applyAlignment="1">
      <alignment horizontal="center"/>
    </xf>
    <xf numFmtId="164" fontId="20" fillId="4" borderId="8" xfId="0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165" fontId="1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2" fillId="12" borderId="0" xfId="0" applyFont="1" applyFill="1"/>
    <xf numFmtId="0" fontId="22" fillId="12" borderId="10" xfId="1" applyFont="1" applyFill="1" applyBorder="1" applyAlignment="1" applyProtection="1">
      <alignment horizontal="center"/>
      <protection locked="0"/>
    </xf>
    <xf numFmtId="0" fontId="6" fillId="12" borderId="10" xfId="0" applyFont="1" applyFill="1" applyBorder="1" applyAlignment="1">
      <alignment horizontal="center"/>
    </xf>
    <xf numFmtId="0" fontId="10" fillId="12" borderId="10" xfId="0" applyFont="1" applyFill="1" applyBorder="1" applyProtection="1">
      <protection locked="0"/>
    </xf>
    <xf numFmtId="0" fontId="12" fillId="12" borderId="11" xfId="0" applyFont="1" applyFill="1" applyBorder="1" applyAlignment="1" applyProtection="1">
      <alignment horizontal="center" wrapText="1"/>
      <protection locked="0"/>
    </xf>
    <xf numFmtId="20" fontId="12" fillId="12" borderId="7" xfId="0" applyNumberFormat="1" applyFont="1" applyFill="1" applyBorder="1" applyProtection="1">
      <protection locked="0"/>
    </xf>
    <xf numFmtId="0" fontId="14" fillId="0" borderId="0" xfId="1" applyFont="1" applyAlignment="1">
      <alignment horizontal="center"/>
    </xf>
    <xf numFmtId="0" fontId="18" fillId="5" borderId="1" xfId="0" applyFont="1" applyFill="1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18" fillId="5" borderId="5" xfId="0" applyFont="1" applyFill="1" applyBorder="1" applyAlignment="1">
      <alignment horizontal="center"/>
    </xf>
    <xf numFmtId="0" fontId="18" fillId="5" borderId="9" xfId="0" applyFont="1" applyFill="1" applyBorder="1" applyAlignment="1">
      <alignment horizontal="center"/>
    </xf>
    <xf numFmtId="164" fontId="19" fillId="0" borderId="0" xfId="0" applyNumberFormat="1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2 2" xfId="4" xr:uid="{00000000-0005-0000-0000-000002000000}"/>
    <cellStyle name="Normal 3" xfId="2" xr:uid="{00000000-0005-0000-0000-000003000000}"/>
    <cellStyle name="Normal 4" xfId="3" xr:uid="{00000000-0005-0000-0000-000004000000}"/>
  </cellStyles>
  <dxfs count="124"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  <dxf>
      <font>
        <b/>
        <i/>
        <color auto="1"/>
      </font>
      <fill>
        <patternFill>
          <bgColor rgb="FF00B0F0"/>
        </patternFill>
      </fill>
    </dxf>
    <dxf>
      <font>
        <b/>
        <i/>
      </font>
      <fill>
        <patternFill>
          <bgColor rgb="FFFFC00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  <color auto="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GD%20CONTROL%20VEHICULOS%20LIVIANOS\GD-F-OPE001%20Salida%20Operaciones%2020161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NIELE\Compartir\CT\Desktop\GD-F-OPE001%20Salida%20Operaciones%202016113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cion"/>
      <sheetName val="Resumen Montera"/>
      <sheetName val="Resumen Rivas"/>
      <sheetName val="Resumen FMB"/>
      <sheetName val="100-Kia"/>
      <sheetName val="101-Hyundai"/>
      <sheetName val="102-VW 1"/>
      <sheetName val="103-VW 2"/>
      <sheetName val="104-VW 3"/>
      <sheetName val="105-VW 9150"/>
      <sheetName val="106-Iveco Euro 220"/>
      <sheetName val="107-Iveco Tector"/>
      <sheetName val="108-Iveco Cursor"/>
      <sheetName val="109-Scania"/>
      <sheetName val="400-Autoelevador"/>
      <sheetName val="401-Autoelevador"/>
      <sheetName val="402-Autoelevador"/>
      <sheetName val="403-Autoelevador"/>
      <sheetName val="500-Liebherr 1030"/>
      <sheetName val="501-Liebherr 1060"/>
      <sheetName val="502-Liebherr 1070"/>
      <sheetName val="503-Liebherr 1090"/>
      <sheetName val="504-Liebherr 1100"/>
      <sheetName val="505-Liebherr 1250"/>
      <sheetName val="506-Luna 4032"/>
      <sheetName val="507-Luna 5038"/>
      <sheetName val="508-Luna 6042"/>
      <sheetName val="509-Tadano 300"/>
      <sheetName val="510-Tadano 300ex"/>
      <sheetName val="511-terex 4003"/>
      <sheetName val="512-Terex ac60"/>
      <sheetName val="513-Crane 7500"/>
      <sheetName val="514-Demag ac120"/>
      <sheetName val="700-Groove 160"/>
      <sheetName val="Empresas"/>
      <sheetName val="Personal"/>
      <sheetName val="Equipos"/>
      <sheetName val="Verificador"/>
      <sheetName val="Operador"/>
      <sheetName val="Unida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cion"/>
      <sheetName val="Resumen Montera"/>
      <sheetName val="Resumen Rivas"/>
      <sheetName val="Resumen FMB"/>
      <sheetName val="100-Kia"/>
      <sheetName val="101-Hyundai"/>
      <sheetName val="102-VW 1"/>
      <sheetName val="103-VW 2"/>
      <sheetName val="104-VW 3"/>
      <sheetName val="105-VW 9150"/>
      <sheetName val="106-Iveco Euro 220"/>
      <sheetName val="107-Iveco Tector"/>
      <sheetName val="108-Iveco Cursor"/>
      <sheetName val="109-Scania"/>
      <sheetName val="400-Autoelevador"/>
      <sheetName val="401-Autoelevador"/>
      <sheetName val="402-Autoelevador"/>
      <sheetName val="403-Autoelevador"/>
      <sheetName val="500-Liebherr 1030"/>
      <sheetName val="501-Liebherr 1060"/>
      <sheetName val="502-Liebherr 1070"/>
      <sheetName val="503-Liebherr 1090"/>
      <sheetName val="504-Liebherr 1100"/>
      <sheetName val="505-Liebherr 1250"/>
      <sheetName val="506-Luna 4032"/>
      <sheetName val="507-Luna 5038"/>
      <sheetName val="508-Luna 6042"/>
      <sheetName val="509-Tadano 300"/>
      <sheetName val="510-Tadano 300ex"/>
      <sheetName val="511-terex 4003"/>
      <sheetName val="512-Terex ac60"/>
      <sheetName val="513-Crane 7500"/>
      <sheetName val="514-Demag ac120"/>
      <sheetName val="700-Groove 160"/>
      <sheetName val="Empresas"/>
      <sheetName val="Personal"/>
      <sheetName val="Equipos"/>
      <sheetName val="Verificador"/>
      <sheetName val="Operad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workbookViewId="0">
      <selection activeCell="D3" sqref="D3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v>46266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16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v>4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v>5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6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7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8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9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10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11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12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13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14</v>
      </c>
      <c r="B17" s="32" t="s">
        <v>23</v>
      </c>
      <c r="C17" s="33" t="str">
        <f t="shared" ref="C17" si="6">VLOOKUP(B17,unidad,2)</f>
        <v>Liviano</v>
      </c>
      <c r="D17" s="33" t="str">
        <f t="shared" ref="D17" si="7">VLOOKUP(B17,unidad,3)</f>
        <v>FIAT</v>
      </c>
      <c r="E17" s="33" t="str">
        <f t="shared" ref="E17" si="8">VLOOKUP(B17,unidad,4)</f>
        <v>STRADA</v>
      </c>
      <c r="F17" s="33" t="str">
        <f t="shared" ref="F17" si="9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15</v>
      </c>
      <c r="B18" s="32" t="s">
        <v>29</v>
      </c>
      <c r="C18" s="33" t="str">
        <f t="shared" ref="C18:C20" si="10">VLOOKUP(B18,unidad,2)</f>
        <v>Selecciona Equipo</v>
      </c>
      <c r="D18" s="33">
        <f t="shared" ref="D18:D20" si="11">VLOOKUP(B18,unidad,3)</f>
        <v>0</v>
      </c>
      <c r="E18" s="33">
        <f t="shared" ref="E18:E20" si="12">VLOOKUP(B18,unidad,4)</f>
        <v>0</v>
      </c>
      <c r="F18" s="33">
        <f t="shared" ref="F18:F20" si="13">VLOOKUP(B18,unidad,5)</f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16</v>
      </c>
      <c r="B19" s="32" t="s">
        <v>29</v>
      </c>
      <c r="C19" s="33" t="str">
        <f t="shared" si="10"/>
        <v>Selecciona Equipo</v>
      </c>
      <c r="D19" s="33">
        <f t="shared" si="11"/>
        <v>0</v>
      </c>
      <c r="E19" s="33">
        <f t="shared" si="12"/>
        <v>0</v>
      </c>
      <c r="F19" s="33">
        <f t="shared" si="13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17</v>
      </c>
      <c r="B20" s="32" t="s">
        <v>29</v>
      </c>
      <c r="C20" s="33" t="str">
        <f t="shared" si="10"/>
        <v>Selecciona Equipo</v>
      </c>
      <c r="D20" s="33">
        <f t="shared" si="11"/>
        <v>0</v>
      </c>
      <c r="E20" s="33">
        <f t="shared" si="12"/>
        <v>0</v>
      </c>
      <c r="F20" s="33">
        <f t="shared" si="13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  <row r="21" spans="1:15" hidden="1"/>
    <row r="22" spans="1:15" hidden="1">
      <c r="A22" s="57" t="s">
        <v>30</v>
      </c>
      <c r="B22" s="57" t="s">
        <v>31</v>
      </c>
      <c r="C22" s="57" t="s">
        <v>32</v>
      </c>
    </row>
    <row r="23" spans="1:15" hidden="1">
      <c r="A23">
        <v>2022</v>
      </c>
      <c r="B23">
        <v>7</v>
      </c>
      <c r="C23">
        <v>1</v>
      </c>
    </row>
    <row r="24" spans="1:15" hidden="1"/>
  </sheetData>
  <mergeCells count="4">
    <mergeCell ref="B1:F1"/>
    <mergeCell ref="H3:I3"/>
    <mergeCell ref="J3:K3"/>
    <mergeCell ref="N4:O4"/>
  </mergeCells>
  <conditionalFormatting sqref="O5:O20">
    <cfRule type="cellIs" dxfId="123" priority="1" operator="equal">
      <formula>"estado"</formula>
    </cfRule>
    <cfRule type="cellIs" dxfId="122" priority="2" operator="equal">
      <formula>"finalizado"</formula>
    </cfRule>
    <cfRule type="cellIs" dxfId="121" priority="3" operator="equal">
      <formula>"a confirmar"</formula>
    </cfRule>
    <cfRule type="cellIs" dxfId="120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000-000003000000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0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077BF85B-E132-4B50-8AB6-C7FCA1FF6AAE}">
          <x14:formula1>
            <xm:f>Personal!$B$1:$B$52</xm:f>
          </x14:formula1>
          <xm:sqref>G5:G20</xm:sqref>
        </x14:dataValidation>
        <x14:dataValidation type="list" allowBlank="1" showInputMessage="1" showErrorMessage="1" xr:uid="{00000000-0002-0000-0000-000004000000}">
          <x14:formula1>
            <xm:f>Unidades!$B$4:$B$17</xm:f>
          </x14:formula1>
          <xm:sqref>B5:B20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46267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v>13</v>
      </c>
      <c r="B17" s="32" t="s">
        <v>23</v>
      </c>
      <c r="C17" s="33" t="str">
        <f t="shared" si="0"/>
        <v>Liviano</v>
      </c>
      <c r="D17" s="33" t="str">
        <f t="shared" ref="D17:D20" si="5">VLOOKUP(B17,unidad,3)</f>
        <v>FIAT</v>
      </c>
      <c r="E17" s="33" t="str">
        <f t="shared" ref="E17:E20" si="6">VLOOKUP(B17,unidad,4)</f>
        <v>STRADA</v>
      </c>
      <c r="F17" s="33" t="str">
        <f t="shared" ref="F17:F20" si="7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v>14</v>
      </c>
      <c r="B18" s="32" t="s">
        <v>29</v>
      </c>
      <c r="C18" s="33" t="str">
        <f t="shared" si="0"/>
        <v>Selecciona Equipo</v>
      </c>
      <c r="D18" s="33">
        <f t="shared" si="5"/>
        <v>0</v>
      </c>
      <c r="E18" s="33">
        <f t="shared" si="6"/>
        <v>0</v>
      </c>
      <c r="F18" s="33">
        <f t="shared" si="7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v>15</v>
      </c>
      <c r="B19" s="32" t="s">
        <v>29</v>
      </c>
      <c r="C19" s="33" t="str">
        <f t="shared" si="0"/>
        <v>Selecciona Equipo</v>
      </c>
      <c r="D19" s="33">
        <f t="shared" si="5"/>
        <v>0</v>
      </c>
      <c r="E19" s="33">
        <f t="shared" si="6"/>
        <v>0</v>
      </c>
      <c r="F19" s="33">
        <f t="shared" si="7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v>16</v>
      </c>
      <c r="B20" s="32" t="s">
        <v>29</v>
      </c>
      <c r="C20" s="33" t="str">
        <f t="shared" si="0"/>
        <v>Selecciona Equipo</v>
      </c>
      <c r="D20" s="33">
        <f t="shared" si="5"/>
        <v>0</v>
      </c>
      <c r="E20" s="33">
        <f t="shared" si="6"/>
        <v>0</v>
      </c>
      <c r="F20" s="33">
        <f t="shared" si="7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19" priority="1" operator="equal">
      <formula>"estado"</formula>
    </cfRule>
    <cfRule type="cellIs" dxfId="118" priority="2" operator="equal">
      <formula>"finalizado"</formula>
    </cfRule>
    <cfRule type="cellIs" dxfId="117" priority="3" operator="equal">
      <formula>"a confirmar"</formula>
    </cfRule>
    <cfRule type="cellIs" dxfId="116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938BEC9-C380-451D-B9AD-6A89052D0E56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1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1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33B4B42F-C088-4778-829B-5CB646AFFCD6}">
          <x14:formula1>
            <xm:f>Unidades!$B$4:$B$17</xm:f>
          </x14:formula1>
          <xm:sqref>B5:B20</xm:sqref>
        </x14:dataValidation>
        <x14:dataValidation type="list" allowBlank="1" showInputMessage="1" showErrorMessage="1" xr:uid="{B436F941-4828-4719-9EFC-111569CD3B0E}">
          <x14:formula1>
            <xm:f>Personal!$B$1:$B$52</xm:f>
          </x14:formula1>
          <xm:sqref>G5:G20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.85546875" bestFit="1" customWidth="1"/>
    <col min="6" max="6" width="16.4257812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46268</v>
      </c>
      <c r="E2" s="4"/>
      <c r="F2" s="56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ref="A10:A20" si="5">+A9+1</f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15" priority="1" operator="equal">
      <formula>"estado"</formula>
    </cfRule>
    <cfRule type="cellIs" dxfId="114" priority="2" operator="equal">
      <formula>"finalizado"</formula>
    </cfRule>
    <cfRule type="cellIs" dxfId="113" priority="3" operator="equal">
      <formula>"a confirmar"</formula>
    </cfRule>
    <cfRule type="cellIs" dxfId="112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4A8660A3-1D24-45EE-8B27-64CF879A5EDB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2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15CF23F3-9EAB-4216-A3A3-72F852A7D3AD}">
          <x14:formula1>
            <xm:f>Unidades!$B$4:$B$17</xm:f>
          </x14:formula1>
          <xm:sqref>B5:B20</xm:sqref>
        </x14:dataValidation>
        <x14:dataValidation type="list" allowBlank="1" showInputMessage="1" showErrorMessage="1" xr:uid="{4C0DD74D-BF8B-456B-93BF-9E373B31ABD2}">
          <x14:formula1>
            <xm:f>Personal!$B$1:$B$52</xm:f>
          </x14:formula1>
          <xm:sqref>G5:G20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>
      <selection activeCell="I15" sqref="I1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46269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0.99930555555555556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0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 t="s">
        <v>37</v>
      </c>
      <c r="H10" s="39" t="s">
        <v>15</v>
      </c>
      <c r="I10" s="40">
        <v>0</v>
      </c>
      <c r="J10" s="39" t="s">
        <v>15</v>
      </c>
      <c r="K10" s="40">
        <v>0.99930555555555556</v>
      </c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40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 t="s">
        <v>41</v>
      </c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11" priority="1" operator="equal">
      <formula>"estado"</formula>
    </cfRule>
    <cfRule type="cellIs" dxfId="110" priority="2" operator="equal">
      <formula>"finalizado"</formula>
    </cfRule>
    <cfRule type="cellIs" dxfId="109" priority="3" operator="equal">
      <formula>"a confirmar"</formula>
    </cfRule>
    <cfRule type="cellIs" dxfId="108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066B9F2-AF4A-4AD3-800C-63CE2A0AEC52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3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3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399E4400-E0FA-49CA-A9CA-7682D9AF7D36}">
          <x14:formula1>
            <xm:f>Unidades!$B$4:$B$17</xm:f>
          </x14:formula1>
          <xm:sqref>B5:B20</xm:sqref>
        </x14:dataValidation>
        <x14:dataValidation type="list" allowBlank="1" showInputMessage="1" showErrorMessage="1" xr:uid="{8B93A9AD-1386-4F43-A810-83C3442C75C1}">
          <x14:formula1>
            <xm:f>Personal!$B$1:$B$52</xm:f>
          </x14:formula1>
          <xm:sqref>G5:G20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>
      <selection activeCell="G15" sqref="G1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46270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 t="s">
        <v>42</v>
      </c>
      <c r="H6" s="39" t="s">
        <v>15</v>
      </c>
      <c r="I6" s="40">
        <v>0</v>
      </c>
      <c r="J6" s="39" t="s">
        <v>15</v>
      </c>
      <c r="K6" s="40">
        <v>0.99930555555555556</v>
      </c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0.99930555555555556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0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 t="s">
        <v>37</v>
      </c>
      <c r="H10" s="39" t="s">
        <v>15</v>
      </c>
      <c r="I10" s="40">
        <v>0</v>
      </c>
      <c r="J10" s="39" t="s">
        <v>15</v>
      </c>
      <c r="K10" s="40">
        <v>0.99930555555555556</v>
      </c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40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07" priority="1" operator="equal">
      <formula>"estado"</formula>
    </cfRule>
    <cfRule type="cellIs" dxfId="106" priority="2" operator="equal">
      <formula>"finalizado"</formula>
    </cfRule>
    <cfRule type="cellIs" dxfId="105" priority="3" operator="equal">
      <formula>"a confirmar"</formula>
    </cfRule>
    <cfRule type="cellIs" dxfId="104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24B1855C-B2FA-4254-BE32-89655FA73887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4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B696BE5A-A215-4AD4-BC42-A167B922AC90}">
          <x14:formula1>
            <xm:f>Unidades!$B$4:$B$17</xm:f>
          </x14:formula1>
          <xm:sqref>B5:B20</xm:sqref>
        </x14:dataValidation>
        <x14:dataValidation type="list" allowBlank="1" showInputMessage="1" showErrorMessage="1" xr:uid="{1917EC38-5E07-4922-8BF5-030BF24489D0}">
          <x14:formula1>
            <xm:f>Personal!$B$1:$B$52</xm:f>
          </x14:formula1>
          <xm:sqref>G5:G20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workbookViewId="0">
      <selection activeCell="B14" sqref="B14:K14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46271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 t="s">
        <v>43</v>
      </c>
      <c r="H6" s="39" t="s">
        <v>15</v>
      </c>
      <c r="I6" s="40">
        <v>0.5</v>
      </c>
      <c r="J6" s="39" t="s">
        <v>15</v>
      </c>
      <c r="K6" s="40">
        <v>0.99930555555555556</v>
      </c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0.99930555555555556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0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 t="s">
        <v>37</v>
      </c>
      <c r="H10" s="39" t="s">
        <v>15</v>
      </c>
      <c r="I10" s="40">
        <v>0</v>
      </c>
      <c r="J10" s="39" t="s">
        <v>15</v>
      </c>
      <c r="K10" s="40">
        <v>0.99930555555555556</v>
      </c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40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03" priority="1" operator="equal">
      <formula>"estado"</formula>
    </cfRule>
    <cfRule type="cellIs" dxfId="102" priority="2" operator="equal">
      <formula>"finalizado"</formula>
    </cfRule>
    <cfRule type="cellIs" dxfId="101" priority="3" operator="equal">
      <formula>"a confirmar"</formula>
    </cfRule>
    <cfRule type="cellIs" dxfId="100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6E06F8E-4486-4E18-9FFA-53273B5D6056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5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5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19AFAEC9-C727-48ED-A082-42188215D731}">
          <x14:formula1>
            <xm:f>Unidades!$B$4:$B$17</xm:f>
          </x14:formula1>
          <xm:sqref>B5:B20</xm:sqref>
        </x14:dataValidation>
        <x14:dataValidation type="list" allowBlank="1" showInputMessage="1" showErrorMessage="1" xr:uid="{561C28EC-9445-4E48-9B8B-98FE4DC55344}">
          <x14:formula1>
            <xm:f>Personal!$B$1:$B$52</xm:f>
          </x14:formula1>
          <xm:sqref>G5:G20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0"/>
  <sheetViews>
    <sheetView topLeftCell="B2" workbookViewId="0">
      <selection activeCell="G15" sqref="G1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46272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0.99930555555555556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0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 t="s">
        <v>44</v>
      </c>
      <c r="H10" s="39" t="s">
        <v>15</v>
      </c>
      <c r="I10" s="40">
        <v>0.625</v>
      </c>
      <c r="J10" s="39" t="s">
        <v>15</v>
      </c>
      <c r="K10" s="40">
        <v>0.95833333333333337</v>
      </c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40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99" priority="1" operator="equal">
      <formula>"estado"</formula>
    </cfRule>
    <cfRule type="cellIs" dxfId="98" priority="2" operator="equal">
      <formula>"finalizado"</formula>
    </cfRule>
    <cfRule type="cellIs" dxfId="97" priority="3" operator="equal">
      <formula>"a confirmar"</formula>
    </cfRule>
    <cfRule type="cellIs" dxfId="96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6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14E96B7C-BB79-4D0C-8917-188539746BD2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6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2973B6C8-34C1-472C-8A69-E9905B9B77EE}">
          <x14:formula1>
            <xm:f>Unidades!$B$4:$B$17</xm:f>
          </x14:formula1>
          <xm:sqref>B5:B20</xm:sqref>
        </x14:dataValidation>
        <x14:dataValidation type="list" allowBlank="1" showInputMessage="1" showErrorMessage="1" xr:uid="{EBB05586-4AEC-4DEC-9D34-6C66E5451A15}">
          <x14:formula1>
            <xm:f>Personal!$B$1:$B$52</xm:f>
          </x14:formula1>
          <xm:sqref>G5:G20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0"/>
  <sheetViews>
    <sheetView topLeftCell="A2" workbookViewId="0">
      <selection activeCell="I16" sqref="I16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46273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 t="s">
        <v>45</v>
      </c>
      <c r="H6" s="39" t="s">
        <v>15</v>
      </c>
      <c r="I6" s="40">
        <v>0.29166666666666669</v>
      </c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0.99930555555555556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0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 t="s">
        <v>46</v>
      </c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40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58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 t="s">
        <v>47</v>
      </c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95" priority="1" operator="equal">
      <formula>"estado"</formula>
    </cfRule>
    <cfRule type="cellIs" dxfId="94" priority="2" operator="equal">
      <formula>"finalizado"</formula>
    </cfRule>
    <cfRule type="cellIs" dxfId="93" priority="3" operator="equal">
      <formula>"a confirmar"</formula>
    </cfRule>
    <cfRule type="cellIs" dxfId="92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08D869D-C041-4482-8A71-38C38B69A571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7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7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9E30C7A1-22BF-486C-8F37-D00777010CEE}">
          <x14:formula1>
            <xm:f>Unidades!$B$4:$B$17</xm:f>
          </x14:formula1>
          <xm:sqref>B5:B20</xm:sqref>
        </x14:dataValidation>
        <x14:dataValidation type="list" allowBlank="1" showInputMessage="1" showErrorMessage="1" xr:uid="{8253BBFA-70AE-4E84-A463-C848D6736490}">
          <x14:formula1>
            <xm:f>Personal!$B$1:$B$52</xm:f>
          </x14:formula1>
          <xm:sqref>G5:G20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0"/>
  <sheetViews>
    <sheetView topLeftCell="B2" workbookViewId="0">
      <selection activeCell="I16" sqref="I16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46274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0.96180555555555558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2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>
        <v>0</v>
      </c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48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 t="s">
        <v>41</v>
      </c>
      <c r="H15" s="39" t="s">
        <v>15</v>
      </c>
      <c r="I15" s="40">
        <v>0</v>
      </c>
      <c r="J15" s="39" t="s">
        <v>15</v>
      </c>
      <c r="K15" s="40">
        <v>0.99930555555555556</v>
      </c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91" priority="1" operator="equal">
      <formula>"estado"</formula>
    </cfRule>
    <cfRule type="cellIs" dxfId="90" priority="2" operator="equal">
      <formula>"finalizado"</formula>
    </cfRule>
    <cfRule type="cellIs" dxfId="89" priority="3" operator="equal">
      <formula>"a confirmar"</formula>
    </cfRule>
    <cfRule type="cellIs" dxfId="88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658D82E8-2492-4F76-93CD-A7DF0682148B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8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3958A417-E4DC-4313-9D91-5F6C47D957E7}">
          <x14:formula1>
            <xm:f>Unidades!$B$4:$B$17</xm:f>
          </x14:formula1>
          <xm:sqref>B5:B20</xm:sqref>
        </x14:dataValidation>
        <x14:dataValidation type="list" allowBlank="1" showInputMessage="1" showErrorMessage="1" xr:uid="{5D47B5B6-F1C9-450E-8883-C4623EF4EE88}">
          <x14:formula1>
            <xm:f>Personal!$B$1:$B$52</xm:f>
          </x14:formula1>
          <xm:sqref>G5:G20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0"/>
  <sheetViews>
    <sheetView tabSelected="1" topLeftCell="A4" workbookViewId="0">
      <selection activeCell="G17" sqref="G17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46275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 t="s">
        <v>33</v>
      </c>
      <c r="H5" s="39" t="s">
        <v>15</v>
      </c>
      <c r="I5" s="40">
        <v>0</v>
      </c>
      <c r="J5" s="39" t="s">
        <v>15</v>
      </c>
      <c r="K5" s="40">
        <v>0.99930555555555556</v>
      </c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 t="s">
        <v>45</v>
      </c>
      <c r="H6" s="39" t="s">
        <v>15</v>
      </c>
      <c r="I6" s="40">
        <v>0.29166666666666669</v>
      </c>
      <c r="J6" s="39" t="s">
        <v>15</v>
      </c>
      <c r="K6" s="40">
        <v>0.58333333333333337</v>
      </c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 t="s">
        <v>34</v>
      </c>
      <c r="H7" s="39" t="s">
        <v>15</v>
      </c>
      <c r="I7" s="40">
        <v>0</v>
      </c>
      <c r="J7" s="39" t="s">
        <v>15</v>
      </c>
      <c r="K7" s="40">
        <v>0.99930555555555556</v>
      </c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 t="s">
        <v>35</v>
      </c>
      <c r="H8" s="39" t="s">
        <v>15</v>
      </c>
      <c r="I8" s="40">
        <v>0</v>
      </c>
      <c r="J8" s="39" t="s">
        <v>15</v>
      </c>
      <c r="K8" s="40">
        <v>0.99930555555555556</v>
      </c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 t="s">
        <v>36</v>
      </c>
      <c r="H9" s="39" t="s">
        <v>15</v>
      </c>
      <c r="I9" s="40">
        <v>0</v>
      </c>
      <c r="J9" s="39" t="s">
        <v>15</v>
      </c>
      <c r="K9" s="40">
        <v>0.99930555555555556</v>
      </c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 t="s">
        <v>49</v>
      </c>
      <c r="H10" s="39" t="s">
        <v>15</v>
      </c>
      <c r="I10" s="40">
        <v>0.25</v>
      </c>
      <c r="J10" s="39" t="s">
        <v>15</v>
      </c>
      <c r="K10" s="40">
        <v>0.625</v>
      </c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 t="s">
        <v>38</v>
      </c>
      <c r="H11" s="39" t="s">
        <v>15</v>
      </c>
      <c r="I11" s="40">
        <v>0</v>
      </c>
      <c r="J11" s="39" t="s">
        <v>15</v>
      </c>
      <c r="K11" s="40">
        <v>0.99930555555555556</v>
      </c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 t="s">
        <v>39</v>
      </c>
      <c r="H12" s="39" t="s">
        <v>15</v>
      </c>
      <c r="I12" s="40">
        <v>0</v>
      </c>
      <c r="J12" s="39" t="s">
        <v>15</v>
      </c>
      <c r="K12" s="40">
        <v>0.99930555555555556</v>
      </c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 t="s">
        <v>48</v>
      </c>
      <c r="H13" s="39" t="s">
        <v>15</v>
      </c>
      <c r="I13" s="40">
        <v>0</v>
      </c>
      <c r="J13" s="39" t="s">
        <v>15</v>
      </c>
      <c r="K13" s="40">
        <v>0.99930555555555556</v>
      </c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59" t="s">
        <v>24</v>
      </c>
      <c r="C14" s="60" t="str">
        <f t="shared" si="0"/>
        <v>Liviano</v>
      </c>
      <c r="D14" s="60" t="str">
        <f t="shared" si="1"/>
        <v>FIAT</v>
      </c>
      <c r="E14" s="60" t="str">
        <f t="shared" si="2"/>
        <v>FIORINO</v>
      </c>
      <c r="F14" s="60" t="str">
        <f t="shared" si="3"/>
        <v>AH255OH</v>
      </c>
      <c r="G14" s="61"/>
      <c r="H14" s="62" t="s">
        <v>15</v>
      </c>
      <c r="I14" s="63"/>
      <c r="J14" s="62" t="s">
        <v>15</v>
      </c>
      <c r="K14" s="63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 t="s">
        <v>50</v>
      </c>
      <c r="H15" s="39" t="s">
        <v>15</v>
      </c>
      <c r="I15" s="40">
        <v>0</v>
      </c>
      <c r="J15" s="39" t="s">
        <v>15</v>
      </c>
      <c r="K15" s="40">
        <v>0.99930555555555556</v>
      </c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87" priority="1" operator="equal">
      <formula>"estado"</formula>
    </cfRule>
    <cfRule type="cellIs" dxfId="86" priority="2" operator="equal">
      <formula>"finalizado"</formula>
    </cfRule>
    <cfRule type="cellIs" dxfId="85" priority="3" operator="equal">
      <formula>"a confirmar"</formula>
    </cfRule>
    <cfRule type="cellIs" dxfId="84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06373F0-CABE-49C5-9A73-300C443A0BB5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9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9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5A58EF7F-74E3-4723-9858-351B2E835004}">
          <x14:formula1>
            <xm:f>Unidades!$B$4:$B$17</xm:f>
          </x14:formula1>
          <xm:sqref>B5:B20</xm:sqref>
        </x14:dataValidation>
        <x14:dataValidation type="list" allowBlank="1" showInputMessage="1" showErrorMessage="1" xr:uid="{311853AA-6DCF-4991-AE75-60E51C2B79C8}">
          <x14:formula1>
            <xm:f>Personal!$B$1:$B$52</xm:f>
          </x14:formula1>
          <xm:sqref>G5:G20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21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46276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1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 t="shared" ref="A7:A21" si="5"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 t="shared" si="5"/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si="5"/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  <row r="21" spans="1:15" s="3" customFormat="1" ht="26.25">
      <c r="A21" s="3">
        <f t="shared" si="5"/>
        <v>17</v>
      </c>
      <c r="B21" s="32" t="s">
        <v>51</v>
      </c>
      <c r="C21" s="33" t="str">
        <f t="shared" ref="C21" si="9">VLOOKUP(B21,unidad,2)</f>
        <v xml:space="preserve">Camion </v>
      </c>
      <c r="D21" s="33" t="str">
        <f t="shared" ref="D21" si="10">VLOOKUP(B21,unidad,3)</f>
        <v>KIA</v>
      </c>
      <c r="E21" s="33" t="str">
        <f t="shared" ref="E21" si="11">VLOOKUP(B21,unidad,4)</f>
        <v>K2500</v>
      </c>
      <c r="F21" s="33" t="str">
        <f t="shared" ref="F21" si="12">VLOOKUP(B21,unidad,5)</f>
        <v>ONT 594</v>
      </c>
      <c r="G21" s="34"/>
      <c r="H21" s="39" t="s">
        <v>15</v>
      </c>
      <c r="I21" s="40"/>
      <c r="J21" s="39" t="s">
        <v>15</v>
      </c>
      <c r="K21" s="40"/>
      <c r="L21" s="37"/>
      <c r="M21" s="38"/>
      <c r="N21" s="35">
        <v>0</v>
      </c>
      <c r="O21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1">
    <cfRule type="cellIs" dxfId="83" priority="1" operator="equal">
      <formula>"estado"</formula>
    </cfRule>
    <cfRule type="cellIs" dxfId="82" priority="2" operator="equal">
      <formula>"finalizado"</formula>
    </cfRule>
    <cfRule type="cellIs" dxfId="81" priority="3" operator="equal">
      <formula>"a confirmar"</formula>
    </cfRule>
    <cfRule type="cellIs" dxfId="80" priority="4" operator="equal">
      <formula>"en ejecucion"</formula>
    </cfRule>
  </conditionalFormatting>
  <dataValidations count="1">
    <dataValidation type="list" allowBlank="1" showInputMessage="1" showErrorMessage="1" sqref="G21" xr:uid="{00000000-0002-0000-0A00-000000000000}">
      <formula1>$B$2:$B$53</formula1>
    </dataValidation>
  </dataValidations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A00-000001000000}">
          <x14:formula1>
            <xm:f>Empresas!$A$15:$A$18</xm:f>
          </x14:formula1>
          <xm:sqref>N5:N21</xm:sqref>
        </x14:dataValidation>
        <x14:dataValidation type="list" allowBlank="1" showInputMessage="1" showErrorMessage="1" xr:uid="{00000000-0002-0000-0A00-000002000000}">
          <x14:formula1>
            <xm:f>Empresas!$C$28:$C$35</xm:f>
          </x14:formula1>
          <xm:sqref>J5:J21 H5:H21</xm:sqref>
        </x14:dataValidation>
        <x14:dataValidation type="list" allowBlank="1" showInputMessage="1" showErrorMessage="1" xr:uid="{00000000-0002-0000-0A00-000004000000}">
          <x14:formula1>
            <xm:f>Personal!$E$2:$E$59</xm:f>
          </x14:formula1>
          <xm:sqref>G22</xm:sqref>
        </x14:dataValidation>
        <x14:dataValidation type="list" allowBlank="1" showInputMessage="1" showErrorMessage="1" xr:uid="{00000000-0002-0000-0A00-000005000000}">
          <x14:formula1>
            <xm:f>Unidades!$B$4:$B$17</xm:f>
          </x14:formula1>
          <xm:sqref>B5:B21</xm:sqref>
        </x14:dataValidation>
        <x14:dataValidation type="list" allowBlank="1" showInputMessage="1" showErrorMessage="1" xr:uid="{C214E69C-2EB7-4CF6-948A-F125AEE564A1}">
          <x14:formula1>
            <xm:f>Personal!$B$1:$B$52</xm:f>
          </x14:formula1>
          <xm:sqref>G5:G20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0"/>
  <sheetViews>
    <sheetView workbookViewId="0">
      <selection activeCell="D9" sqref="D9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46277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79" priority="1" operator="equal">
      <formula>"estado"</formula>
    </cfRule>
    <cfRule type="cellIs" dxfId="78" priority="2" operator="equal">
      <formula>"finalizado"</formula>
    </cfRule>
    <cfRule type="cellIs" dxfId="77" priority="3" operator="equal">
      <formula>"a confirmar"</formula>
    </cfRule>
    <cfRule type="cellIs" dxfId="76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A8B9356-83BC-4EDF-8806-892B8273EA58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B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B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647192FA-B862-4058-8769-A38CFE2305F0}">
          <x14:formula1>
            <xm:f>Unidades!$B$4:$B$17</xm:f>
          </x14:formula1>
          <xm:sqref>B5:B20</xm:sqref>
        </x14:dataValidation>
        <x14:dataValidation type="list" allowBlank="1" showInputMessage="1" showErrorMessage="1" xr:uid="{297891CC-E1B4-4F17-9FF6-000C74946ECA}">
          <x14:formula1>
            <xm:f>Personal!$B$1:$B$52</xm:f>
          </x14:formula1>
          <xm:sqref>G5:G20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46278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75" priority="1" operator="equal">
      <formula>"estado"</formula>
    </cfRule>
    <cfRule type="cellIs" dxfId="74" priority="2" operator="equal">
      <formula>"finalizado"</formula>
    </cfRule>
    <cfRule type="cellIs" dxfId="73" priority="3" operator="equal">
      <formula>"a confirmar"</formula>
    </cfRule>
    <cfRule type="cellIs" dxfId="72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C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7D24E123-EE47-4426-B5CF-62B64D48143F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C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52A7C16A-A6ED-4396-B46C-ADF327314FEA}">
          <x14:formula1>
            <xm:f>Unidades!$B$4:$B$17</xm:f>
          </x14:formula1>
          <xm:sqref>B5:B20</xm:sqref>
        </x14:dataValidation>
        <x14:dataValidation type="list" allowBlank="1" showInputMessage="1" showErrorMessage="1" xr:uid="{A9A9D70F-4A10-4FAE-B748-EF120C4F486C}">
          <x14:formula1>
            <xm:f>Personal!$B$1:$B$52</xm:f>
          </x14:formula1>
          <xm:sqref>G5:G20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46279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71" priority="1" operator="equal">
      <formula>"estado"</formula>
    </cfRule>
    <cfRule type="cellIs" dxfId="70" priority="2" operator="equal">
      <formula>"finalizado"</formula>
    </cfRule>
    <cfRule type="cellIs" dxfId="69" priority="3" operator="equal">
      <formula>"a confirmar"</formula>
    </cfRule>
    <cfRule type="cellIs" dxfId="68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59554E7-21F4-420E-9829-14DA461C5389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D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D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D54C1E25-4CC5-42BD-81D7-18C15D9D2F6D}">
          <x14:formula1>
            <xm:f>Unidades!$B$4:$B$17</xm:f>
          </x14:formula1>
          <xm:sqref>B5:B20</xm:sqref>
        </x14:dataValidation>
        <x14:dataValidation type="list" allowBlank="1" showInputMessage="1" showErrorMessage="1" xr:uid="{5D66F30E-6625-4B73-849B-3DE196E59C01}">
          <x14:formula1>
            <xm:f>Personal!$B$1:$B$52</xm:f>
          </x14:formula1>
          <xm:sqref>G5:G20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46280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67" priority="1" operator="equal">
      <formula>"estado"</formula>
    </cfRule>
    <cfRule type="cellIs" dxfId="66" priority="2" operator="equal">
      <formula>"finalizado"</formula>
    </cfRule>
    <cfRule type="cellIs" dxfId="65" priority="3" operator="equal">
      <formula>"a confirmar"</formula>
    </cfRule>
    <cfRule type="cellIs" dxfId="64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E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A49CA9E6-83B2-426F-B61A-376FCCB1C40A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E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A76C6CF3-335A-4A38-8A23-3F305798B368}">
          <x14:formula1>
            <xm:f>Unidades!$B$4:$B$17</xm:f>
          </x14:formula1>
          <xm:sqref>B5:B20</xm:sqref>
        </x14:dataValidation>
        <x14:dataValidation type="list" allowBlank="1" showInputMessage="1" showErrorMessage="1" xr:uid="{428DAFA0-172F-4F5B-9897-B47077F2BEFF}">
          <x14:formula1>
            <xm:f>Personal!$B$1:$B$52</xm:f>
          </x14:formula1>
          <xm:sqref>G5:G20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0"/>
  <sheetViews>
    <sheetView topLeftCell="A2"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46281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63" priority="1" operator="equal">
      <formula>"estado"</formula>
    </cfRule>
    <cfRule type="cellIs" dxfId="62" priority="2" operator="equal">
      <formula>"finalizado"</formula>
    </cfRule>
    <cfRule type="cellIs" dxfId="61" priority="3" operator="equal">
      <formula>"a confirmar"</formula>
    </cfRule>
    <cfRule type="cellIs" dxfId="60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A2DD749-D478-48B9-925E-564E30039B82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0F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0F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6F4CB012-6A4B-42A7-BE26-14673EE689A9}">
          <x14:formula1>
            <xm:f>Unidades!$B$4:$B$17</xm:f>
          </x14:formula1>
          <xm:sqref>B5:B20</xm:sqref>
        </x14:dataValidation>
        <x14:dataValidation type="list" allowBlank="1" showInputMessage="1" showErrorMessage="1" xr:uid="{A4ABF85B-6EE8-4567-AA75-BA9266A6F11C}">
          <x14:formula1>
            <xm:f>Personal!$B$1:$B$52</xm:f>
          </x14:formula1>
          <xm:sqref>G5:G20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0"/>
  <sheetViews>
    <sheetView topLeftCell="B2"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46282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59" priority="1" operator="equal">
      <formula>"estado"</formula>
    </cfRule>
    <cfRule type="cellIs" dxfId="58" priority="2" operator="equal">
      <formula>"finalizado"</formula>
    </cfRule>
    <cfRule type="cellIs" dxfId="57" priority="3" operator="equal">
      <formula>"a confirmar"</formula>
    </cfRule>
    <cfRule type="cellIs" dxfId="56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FAB33B9C-01EF-4608-A99F-CAD88ABE9042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0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655EA711-91FE-4708-974B-8213D5CE0EB3}">
          <x14:formula1>
            <xm:f>Unidades!$B$4:$B$17</xm:f>
          </x14:formula1>
          <xm:sqref>B5:B20</xm:sqref>
        </x14:dataValidation>
        <x14:dataValidation type="list" allowBlank="1" showInputMessage="1" showErrorMessage="1" xr:uid="{91449393-3498-484B-93EB-342B257757F6}">
          <x14:formula1>
            <xm:f>Personal!$B$1:$B$52</xm:f>
          </x14:formula1>
          <xm:sqref>G5:G20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0"/>
  <sheetViews>
    <sheetView topLeftCell="A2"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46283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55" priority="1" operator="equal">
      <formula>"estado"</formula>
    </cfRule>
    <cfRule type="cellIs" dxfId="54" priority="2" operator="equal">
      <formula>"finalizado"</formula>
    </cfRule>
    <cfRule type="cellIs" dxfId="53" priority="3" operator="equal">
      <formula>"a confirmar"</formula>
    </cfRule>
    <cfRule type="cellIs" dxfId="52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AF786F-EB23-4A1F-97B7-29A234E774FA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1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1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D3CCA351-7157-4F2F-8C43-0A8519900814}">
          <x14:formula1>
            <xm:f>Unidades!$B$4:$B$17</xm:f>
          </x14:formula1>
          <xm:sqref>B5:B20</xm:sqref>
        </x14:dataValidation>
        <x14:dataValidation type="list" allowBlank="1" showInputMessage="1" showErrorMessage="1" xr:uid="{D8464BBF-782B-484B-9DF1-0993941E4DD3}">
          <x14:formula1>
            <xm:f>Personal!$B$1:$B$52</xm:f>
          </x14:formula1>
          <xm:sqref>G5:G20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46284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51" priority="1" operator="equal">
      <formula>"estado"</formula>
    </cfRule>
    <cfRule type="cellIs" dxfId="50" priority="2" operator="equal">
      <formula>"finalizado"</formula>
    </cfRule>
    <cfRule type="cellIs" dxfId="49" priority="3" operator="equal">
      <formula>"a confirmar"</formula>
    </cfRule>
    <cfRule type="cellIs" dxfId="48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A5BDA8FE-411D-4313-97FC-1FEE7DC4A2C0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2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076CCFFA-C9E5-4BF4-BB60-227FC8EB13F2}">
          <x14:formula1>
            <xm:f>Unidades!$B$4:$B$17</xm:f>
          </x14:formula1>
          <xm:sqref>B5:B20</xm:sqref>
        </x14:dataValidation>
        <x14:dataValidation type="list" allowBlank="1" showInputMessage="1" showErrorMessage="1" xr:uid="{C28EFD00-A42D-4AEE-AEC2-51D000425752}">
          <x14:formula1>
            <xm:f>Personal!$B$1:$B$52</xm:f>
          </x14:formula1>
          <xm:sqref>G5:G20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46285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47" priority="1" operator="equal">
      <formula>"estado"</formula>
    </cfRule>
    <cfRule type="cellIs" dxfId="46" priority="2" operator="equal">
      <formula>"finalizado"</formula>
    </cfRule>
    <cfRule type="cellIs" dxfId="45" priority="3" operator="equal">
      <formula>"a confirmar"</formula>
    </cfRule>
    <cfRule type="cellIs" dxfId="44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AC93B8-0BC6-4B79-BFD3-ADA563BDFFB4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3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3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3BE08A34-2F2F-4D15-8232-1E79BDF7F2BD}">
          <x14:formula1>
            <xm:f>Unidades!$B$4:$B$17</xm:f>
          </x14:formula1>
          <xm:sqref>B5:B20</xm:sqref>
        </x14:dataValidation>
        <x14:dataValidation type="list" allowBlank="1" showInputMessage="1" showErrorMessage="1" xr:uid="{E57961D7-CB99-4F20-A4A8-9F9CE854C0D5}">
          <x14:formula1>
            <xm:f>Personal!$B$1:$B$52</xm:f>
          </x14:formula1>
          <xm:sqref>G5:G20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46286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43" priority="1" operator="equal">
      <formula>"estado"</formula>
    </cfRule>
    <cfRule type="cellIs" dxfId="42" priority="2" operator="equal">
      <formula>"finalizado"</formula>
    </cfRule>
    <cfRule type="cellIs" dxfId="41" priority="3" operator="equal">
      <formula>"a confirmar"</formula>
    </cfRule>
    <cfRule type="cellIs" dxfId="40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4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3155AB7D-D1EC-46BC-A69A-E4868802C99C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4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E19E2435-E1C5-459A-AC06-6AECF0947E8D}">
          <x14:formula1>
            <xm:f>Unidades!$B$4:$B$17</xm:f>
          </x14:formula1>
          <xm:sqref>B5:B20</xm:sqref>
        </x14:dataValidation>
        <x14:dataValidation type="list" allowBlank="1" showInputMessage="1" showErrorMessage="1" xr:uid="{31F1E28A-6657-4CE4-BAEB-0DF1D770F308}">
          <x14:formula1>
            <xm:f>Personal!$B$1:$B$52</xm:f>
          </x14:formula1>
          <xm:sqref>G5:G20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46287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39" priority="1" operator="equal">
      <formula>"estado"</formula>
    </cfRule>
    <cfRule type="cellIs" dxfId="38" priority="2" operator="equal">
      <formula>"finalizado"</formula>
    </cfRule>
    <cfRule type="cellIs" dxfId="37" priority="3" operator="equal">
      <formula>"a confirmar"</formula>
    </cfRule>
    <cfRule type="cellIs" dxfId="36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7B5B44C-CB1F-4280-BDFE-DFF824A8F171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5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5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D9E43FA8-C018-4E99-B849-0F5CB803963C}">
          <x14:formula1>
            <xm:f>Unidades!$B$4:$B$17</xm:f>
          </x14:formula1>
          <xm:sqref>B5:B20</xm:sqref>
        </x14:dataValidation>
        <x14:dataValidation type="list" allowBlank="1" showInputMessage="1" showErrorMessage="1" xr:uid="{5C57E3A0-A904-4194-B43F-FC6D53B7E93D}">
          <x14:formula1>
            <xm:f>Personal!$B$1:$B$52</xm:f>
          </x14:formula1>
          <xm:sqref>G5:G20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46288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35" priority="1" operator="equal">
      <formula>"estado"</formula>
    </cfRule>
    <cfRule type="cellIs" dxfId="34" priority="2" operator="equal">
      <formula>"finalizado"</formula>
    </cfRule>
    <cfRule type="cellIs" dxfId="33" priority="3" operator="equal">
      <formula>"a confirmar"</formula>
    </cfRule>
    <cfRule type="cellIs" dxfId="32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6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106B0824-9205-494B-B88D-DE3D4A90EE1F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6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6A56764D-BA0C-48F9-ADE5-F197F994C242}">
          <x14:formula1>
            <xm:f>Unidades!$B$4:$B$17</xm:f>
          </x14:formula1>
          <xm:sqref>B5:B20</xm:sqref>
        </x14:dataValidation>
        <x14:dataValidation type="list" allowBlank="1" showInputMessage="1" showErrorMessage="1" xr:uid="{358F614A-88DC-485C-A070-B97081ABE7C1}">
          <x14:formula1>
            <xm:f>Personal!$B$1:$B$52</xm:f>
          </x14:formula1>
          <xm:sqref>G5:G20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46289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31" priority="1" operator="equal">
      <formula>"estado"</formula>
    </cfRule>
    <cfRule type="cellIs" dxfId="30" priority="2" operator="equal">
      <formula>"finalizado"</formula>
    </cfRule>
    <cfRule type="cellIs" dxfId="29" priority="3" operator="equal">
      <formula>"a confirmar"</formula>
    </cfRule>
    <cfRule type="cellIs" dxfId="28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FF52095-B06F-4924-9773-A463E815BC4C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7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7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A7E2A12E-E599-4C4E-8B08-872C3974C346}">
          <x14:formula1>
            <xm:f>Unidades!$B$4:$B$17</xm:f>
          </x14:formula1>
          <xm:sqref>B5:B20</xm:sqref>
        </x14:dataValidation>
        <x14:dataValidation type="list" allowBlank="1" showInputMessage="1" showErrorMessage="1" xr:uid="{1A2F3F3F-9678-4BCB-8F6E-74BC75F132A1}">
          <x14:formula1>
            <xm:f>Personal!$B$1:$B$52</xm:f>
          </x14:formula1>
          <xm:sqref>G5:G20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46290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27" priority="1" operator="equal">
      <formula>"estado"</formula>
    </cfRule>
    <cfRule type="cellIs" dxfId="26" priority="2" operator="equal">
      <formula>"finalizado"</formula>
    </cfRule>
    <cfRule type="cellIs" dxfId="25" priority="3" operator="equal">
      <formula>"a confirmar"</formula>
    </cfRule>
    <cfRule type="cellIs" dxfId="24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8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66FDE9F7-CA78-4071-83A8-5AE99B6F2AD9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8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81B1CB89-096A-4103-B87D-ED252B35295A}">
          <x14:formula1>
            <xm:f>Unidades!$B$4:$B$17</xm:f>
          </x14:formula1>
          <xm:sqref>B5:B20</xm:sqref>
        </x14:dataValidation>
        <x14:dataValidation type="list" allowBlank="1" showInputMessage="1" showErrorMessage="1" xr:uid="{CE896505-C976-4317-8600-1DB95D11C121}">
          <x14:formula1>
            <xm:f>Personal!$B$1:$B$52</xm:f>
          </x14:formula1>
          <xm:sqref>G5:G20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46291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23" priority="1" operator="equal">
      <formula>"estado"</formula>
    </cfRule>
    <cfRule type="cellIs" dxfId="22" priority="2" operator="equal">
      <formula>"finalizado"</formula>
    </cfRule>
    <cfRule type="cellIs" dxfId="21" priority="3" operator="equal">
      <formula>"a confirmar"</formula>
    </cfRule>
    <cfRule type="cellIs" dxfId="20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284649D-9093-4440-95E2-01E7100B3922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9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9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BA7BE001-D6BC-4779-B137-AEB0DD1A993D}">
          <x14:formula1>
            <xm:f>Unidades!$B$4:$B$17</xm:f>
          </x14:formula1>
          <xm:sqref>B5:B20</xm:sqref>
        </x14:dataValidation>
        <x14:dataValidation type="list" allowBlank="1" showInputMessage="1" showErrorMessage="1" xr:uid="{3314B570-4638-493F-AC6C-547A203F1482}">
          <x14:formula1>
            <xm:f>Personal!$B$1:$B$52</xm:f>
          </x14:formula1>
          <xm:sqref>G5:G20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46292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9" priority="1" operator="equal">
      <formula>"estado"</formula>
    </cfRule>
    <cfRule type="cellIs" dxfId="18" priority="2" operator="equal">
      <formula>"finalizado"</formula>
    </cfRule>
    <cfRule type="cellIs" dxfId="17" priority="3" operator="equal">
      <formula>"a confirmar"</formula>
    </cfRule>
    <cfRule type="cellIs" dxfId="16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A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B103A054-29D2-47D4-A2F6-F7367D1F875F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A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029082AB-732A-420D-AC86-4F5726B8D299}">
          <x14:formula1>
            <xm:f>Unidades!$B$4:$B$17</xm:f>
          </x14:formula1>
          <xm:sqref>B5:B20</xm:sqref>
        </x14:dataValidation>
        <x14:dataValidation type="list" allowBlank="1" showInputMessage="1" showErrorMessage="1" xr:uid="{E05C16B5-8B22-45F0-8233-1EA6A7FA2B3E}">
          <x14:formula1>
            <xm:f>Personal!$B$1:$B$52</xm:f>
          </x14:formula1>
          <xm:sqref>G5:G20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46293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5" priority="1" operator="equal">
      <formula>"estado"</formula>
    </cfRule>
    <cfRule type="cellIs" dxfId="14" priority="2" operator="equal">
      <formula>"finalizado"</formula>
    </cfRule>
    <cfRule type="cellIs" dxfId="13" priority="3" operator="equal">
      <formula>"a confirmar"</formula>
    </cfRule>
    <cfRule type="cellIs" dxfId="12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54899DE-5032-4C33-9819-D50CD6F7EBB0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B00-000003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B00-000001000000}">
          <x14:formula1>
            <xm:f>Personal!$E$2:$E$59</xm:f>
          </x14:formula1>
          <xm:sqref>G21</xm:sqref>
        </x14:dataValidation>
        <x14:dataValidation type="list" allowBlank="1" showInputMessage="1" showErrorMessage="1" xr:uid="{9CE214D3-4A2C-41CD-A5D9-E32321A80FF7}">
          <x14:formula1>
            <xm:f>Unidades!$B$4:$B$17</xm:f>
          </x14:formula1>
          <xm:sqref>B5:B20</xm:sqref>
        </x14:dataValidation>
        <x14:dataValidation type="list" allowBlank="1" showInputMessage="1" showErrorMessage="1" xr:uid="{1E7309E9-3849-479B-B890-79DBDA4441F4}">
          <x14:formula1>
            <xm:f>Personal!$B$1:$B$52</xm:f>
          </x14:formula1>
          <xm:sqref>G5:G20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46294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11" priority="1" operator="equal">
      <formula>"estado"</formula>
    </cfRule>
    <cfRule type="cellIs" dxfId="10" priority="2" operator="equal">
      <formula>"finalizado"</formula>
    </cfRule>
    <cfRule type="cellIs" dxfId="9" priority="3" operator="equal">
      <formula>"a confirmar"</formula>
    </cfRule>
    <cfRule type="cellIs" dxfId="8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C00-000002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5C8C7E7A-30D2-4099-9E74-E77BFF613E47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C00-000000000000}">
          <x14:formula1>
            <xm:f>Personal!$E$2:$E$59</xm:f>
          </x14:formula1>
          <xm:sqref>G21</xm:sqref>
        </x14:dataValidation>
        <x14:dataValidation type="list" allowBlank="1" showInputMessage="1" showErrorMessage="1" xr:uid="{896E3283-CA4D-4212-AAE0-448A4279D8CD}">
          <x14:formula1>
            <xm:f>Unidades!$B$4:$B$17</xm:f>
          </x14:formula1>
          <xm:sqref>B5:B20</xm:sqref>
        </x14:dataValidation>
        <x14:dataValidation type="list" allowBlank="1" showInputMessage="1" showErrorMessage="1" xr:uid="{816CB769-56C4-42E4-AFC4-F3F2E7B0891A}">
          <x14:formula1>
            <xm:f>Personal!$B$1:$B$52</xm:f>
          </x14:formula1>
          <xm:sqref>G5:G20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0"/>
  <sheetViews>
    <sheetView workbookViewId="0">
      <selection activeCell="B5" sqref="B5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46295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7" priority="1" operator="equal">
      <formula>"estado"</formula>
    </cfRule>
    <cfRule type="cellIs" dxfId="6" priority="2" operator="equal">
      <formula>"finalizado"</formula>
    </cfRule>
    <cfRule type="cellIs" dxfId="5" priority="3" operator="equal">
      <formula>"a confirmar"</formula>
    </cfRule>
    <cfRule type="cellIs" dxfId="4" priority="4" operator="equal">
      <formula>"en ejecucion"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7B8C1B5-4331-4C3B-83EB-7B567D8322CD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00000000-0002-0000-1D00-000001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00000000-0002-0000-1D00-000003000000}">
          <x14:formula1>
            <xm:f>Personal!$E$2:$E$59</xm:f>
          </x14:formula1>
          <xm:sqref>G21</xm:sqref>
        </x14:dataValidation>
        <x14:dataValidation type="list" allowBlank="1" showInputMessage="1" showErrorMessage="1" xr:uid="{798F6DC8-8EEE-4452-A39C-377ADBB95AB9}">
          <x14:formula1>
            <xm:f>Unidades!$B$4:$B$17</xm:f>
          </x14:formula1>
          <xm:sqref>B5:B20</xm:sqref>
        </x14:dataValidation>
        <x14:dataValidation type="list" allowBlank="1" showInputMessage="1" showErrorMessage="1" xr:uid="{DB610D08-9241-4563-917D-3FA190459DDF}">
          <x14:formula1>
            <xm:f>Personal!$B$1:$B$52</xm:f>
          </x14:formula1>
          <xm:sqref>G5:G20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20"/>
  <sheetViews>
    <sheetView workbookViewId="0">
      <selection activeCell="C6" sqref="C6"/>
    </sheetView>
  </sheetViews>
  <sheetFormatPr defaultColWidth="11.42578125" defaultRowHeight="12.75"/>
  <cols>
    <col min="1" max="1" width="5" bestFit="1" customWidth="1"/>
    <col min="2" max="2" width="14.140625" bestFit="1" customWidth="1"/>
    <col min="3" max="3" width="18.7109375" bestFit="1" customWidth="1"/>
    <col min="4" max="4" width="26.140625" bestFit="1" customWidth="1"/>
    <col min="5" max="5" width="15" bestFit="1" customWidth="1"/>
    <col min="6" max="6" width="10.85546875" bestFit="1" customWidth="1"/>
    <col min="7" max="7" width="23.28515625" bestFit="1" customWidth="1"/>
    <col min="8" max="8" width="20.7109375" customWidth="1"/>
    <col min="9" max="9" width="10.85546875" bestFit="1" customWidth="1"/>
    <col min="10" max="10" width="18.5703125" customWidth="1"/>
    <col min="11" max="11" width="10.85546875" bestFit="1" customWidth="1"/>
    <col min="12" max="12" width="23.42578125" customWidth="1"/>
    <col min="13" max="13" width="18.5703125" bestFit="1" customWidth="1"/>
    <col min="15" max="15" width="24.5703125" bestFit="1" customWidth="1"/>
  </cols>
  <sheetData>
    <row r="1" spans="1:15" s="3" customFormat="1" ht="23.25">
      <c r="B1" s="64" t="s">
        <v>0</v>
      </c>
      <c r="C1" s="64"/>
      <c r="D1" s="64"/>
      <c r="E1" s="64"/>
      <c r="F1" s="64"/>
      <c r="G1" s="5"/>
      <c r="H1" s="4"/>
      <c r="I1" s="6"/>
      <c r="J1" s="4"/>
      <c r="K1" s="6"/>
      <c r="L1" s="4"/>
      <c r="M1" s="4"/>
      <c r="N1" s="7"/>
    </row>
    <row r="2" spans="1:15" s="3" customFormat="1" ht="28.5">
      <c r="B2" s="8" t="s">
        <v>1</v>
      </c>
      <c r="D2" s="9">
        <f ca="1">'Dia (1)'!D2+_xlfn.SHEET()-1</f>
        <v>46296</v>
      </c>
      <c r="E2" s="4"/>
      <c r="F2" s="4"/>
      <c r="G2" s="5"/>
      <c r="H2" s="4"/>
      <c r="I2" s="6"/>
      <c r="J2" s="4"/>
      <c r="K2" s="6"/>
      <c r="L2" s="4"/>
      <c r="M2" s="4"/>
      <c r="N2" s="7"/>
    </row>
    <row r="3" spans="1:15" s="3" customFormat="1" ht="18.75">
      <c r="C3" s="4"/>
      <c r="D3" s="4"/>
      <c r="E3" s="4"/>
      <c r="F3" s="4"/>
      <c r="G3" s="5"/>
      <c r="H3" s="65" t="s">
        <v>2</v>
      </c>
      <c r="I3" s="66"/>
      <c r="J3" s="65" t="s">
        <v>3</v>
      </c>
      <c r="K3" s="66"/>
      <c r="L3" s="4"/>
      <c r="M3" s="4"/>
      <c r="N3" s="7"/>
    </row>
    <row r="4" spans="1:15" s="3" customFormat="1" ht="18.75">
      <c r="B4" s="10" t="s">
        <v>4</v>
      </c>
      <c r="C4" s="10"/>
      <c r="D4" s="10" t="s">
        <v>5</v>
      </c>
      <c r="E4" s="10" t="s">
        <v>6</v>
      </c>
      <c r="F4" s="10" t="s">
        <v>7</v>
      </c>
      <c r="G4" s="10" t="s">
        <v>8</v>
      </c>
      <c r="H4" s="11" t="s">
        <v>9</v>
      </c>
      <c r="I4" s="12" t="s">
        <v>10</v>
      </c>
      <c r="J4" s="55" t="s">
        <v>9</v>
      </c>
      <c r="K4" s="13" t="s">
        <v>10</v>
      </c>
      <c r="L4" s="14" t="s">
        <v>11</v>
      </c>
      <c r="M4" s="15" t="s">
        <v>12</v>
      </c>
      <c r="N4" s="67" t="s">
        <v>13</v>
      </c>
      <c r="O4" s="68"/>
    </row>
    <row r="5" spans="1:15" s="3" customFormat="1" ht="26.25">
      <c r="A5" s="3">
        <v>1</v>
      </c>
      <c r="B5" s="32" t="s">
        <v>14</v>
      </c>
      <c r="C5" s="33" t="str">
        <f t="shared" ref="C5:C20" si="0">VLOOKUP(B5,unidad,2)</f>
        <v>Liviano</v>
      </c>
      <c r="D5" s="33" t="str">
        <f t="shared" ref="D5:D15" si="1">VLOOKUP(B5,unidad,3)</f>
        <v>FIAT</v>
      </c>
      <c r="E5" s="33" t="str">
        <f t="shared" ref="E5:E15" si="2">VLOOKUP(B5,unidad,4)</f>
        <v xml:space="preserve">UNO </v>
      </c>
      <c r="F5" s="33" t="str">
        <f t="shared" ref="F5:F15" si="3">VLOOKUP(B5,unidad,5)</f>
        <v>EYI 197</v>
      </c>
      <c r="G5" s="34"/>
      <c r="H5" s="39" t="s">
        <v>15</v>
      </c>
      <c r="I5" s="40"/>
      <c r="J5" s="39" t="s">
        <v>15</v>
      </c>
      <c r="K5" s="40"/>
      <c r="L5" s="37"/>
      <c r="M5" s="38"/>
      <c r="N5" s="35">
        <v>0</v>
      </c>
      <c r="O5" s="36" t="str">
        <f t="shared" ref="O5:O20" si="4">VLOOKUP(N5,estado,3)</f>
        <v>Seleccione Estado</v>
      </c>
    </row>
    <row r="6" spans="1:15" s="3" customFormat="1" ht="26.25">
      <c r="A6" s="3">
        <f>+A5+1</f>
        <v>2</v>
      </c>
      <c r="B6" s="32" t="s">
        <v>16</v>
      </c>
      <c r="C6" s="33" t="str">
        <f t="shared" si="0"/>
        <v>Liviano</v>
      </c>
      <c r="D6" s="33" t="str">
        <f t="shared" si="1"/>
        <v>FIAT</v>
      </c>
      <c r="E6" s="33" t="str">
        <f t="shared" si="2"/>
        <v xml:space="preserve">UNO </v>
      </c>
      <c r="F6" s="33" t="str">
        <f t="shared" si="3"/>
        <v>ODQ 087</v>
      </c>
      <c r="G6" s="34"/>
      <c r="H6" s="39" t="s">
        <v>15</v>
      </c>
      <c r="I6" s="40"/>
      <c r="J6" s="39" t="s">
        <v>15</v>
      </c>
      <c r="K6" s="40"/>
      <c r="L6" s="37"/>
      <c r="M6" s="38"/>
      <c r="N6" s="35">
        <v>0</v>
      </c>
      <c r="O6" s="36" t="str">
        <f t="shared" si="4"/>
        <v>Seleccione Estado</v>
      </c>
    </row>
    <row r="7" spans="1:15" s="3" customFormat="1" ht="26.25">
      <c r="A7" s="3">
        <f>+A6+1</f>
        <v>3</v>
      </c>
      <c r="B7" s="32" t="s">
        <v>17</v>
      </c>
      <c r="C7" s="33" t="str">
        <f t="shared" si="0"/>
        <v>Liviano</v>
      </c>
      <c r="D7" s="33" t="str">
        <f t="shared" si="1"/>
        <v xml:space="preserve">CHEVROLET </v>
      </c>
      <c r="E7" s="33" t="str">
        <f t="shared" si="2"/>
        <v>CELTA</v>
      </c>
      <c r="F7" s="33" t="str">
        <f t="shared" si="3"/>
        <v>MEE 670</v>
      </c>
      <c r="G7" s="34"/>
      <c r="H7" s="39" t="s">
        <v>15</v>
      </c>
      <c r="I7" s="40"/>
      <c r="J7" s="39" t="s">
        <v>15</v>
      </c>
      <c r="K7" s="40"/>
      <c r="L7" s="37"/>
      <c r="M7" s="38"/>
      <c r="N7" s="35">
        <v>0</v>
      </c>
      <c r="O7" s="36" t="str">
        <f t="shared" si="4"/>
        <v>Seleccione Estado</v>
      </c>
    </row>
    <row r="8" spans="1:15" s="3" customFormat="1" ht="26.25">
      <c r="A8" s="3">
        <f>+A7+1</f>
        <v>4</v>
      </c>
      <c r="B8" s="32" t="s">
        <v>18</v>
      </c>
      <c r="C8" s="33" t="str">
        <f t="shared" si="0"/>
        <v>Liviano</v>
      </c>
      <c r="D8" s="33" t="str">
        <f t="shared" si="1"/>
        <v>FIAT</v>
      </c>
      <c r="E8" s="33" t="str">
        <f t="shared" si="2"/>
        <v>FIORINO</v>
      </c>
      <c r="F8" s="33" t="str">
        <f t="shared" si="3"/>
        <v>MHX 920</v>
      </c>
      <c r="G8" s="34"/>
      <c r="H8" s="39" t="s">
        <v>15</v>
      </c>
      <c r="I8" s="40"/>
      <c r="J8" s="39" t="s">
        <v>15</v>
      </c>
      <c r="K8" s="40"/>
      <c r="L8" s="37"/>
      <c r="M8" s="38"/>
      <c r="N8" s="35">
        <v>0</v>
      </c>
      <c r="O8" s="36" t="str">
        <f t="shared" si="4"/>
        <v>Seleccione Estado</v>
      </c>
    </row>
    <row r="9" spans="1:15" s="3" customFormat="1" ht="26.25">
      <c r="A9" s="3">
        <f t="shared" ref="A9:A20" si="5">+A8+1</f>
        <v>5</v>
      </c>
      <c r="B9" s="32" t="s">
        <v>19</v>
      </c>
      <c r="C9" s="33" t="str">
        <f t="shared" si="0"/>
        <v>Liviano</v>
      </c>
      <c r="D9" s="33" t="str">
        <f t="shared" si="1"/>
        <v>RENAULT</v>
      </c>
      <c r="E9" s="33" t="str">
        <f t="shared" si="2"/>
        <v>KANGOO</v>
      </c>
      <c r="F9" s="33" t="str">
        <f t="shared" si="3"/>
        <v>AF 677 IV</v>
      </c>
      <c r="G9" s="34"/>
      <c r="H9" s="39" t="s">
        <v>15</v>
      </c>
      <c r="I9" s="40"/>
      <c r="J9" s="39" t="s">
        <v>15</v>
      </c>
      <c r="K9" s="40"/>
      <c r="L9" s="37"/>
      <c r="M9" s="38"/>
      <c r="N9" s="35">
        <v>0</v>
      </c>
      <c r="O9" s="36" t="str">
        <f t="shared" si="4"/>
        <v>Seleccione Estado</v>
      </c>
    </row>
    <row r="10" spans="1:15" s="3" customFormat="1" ht="26.25">
      <c r="A10" s="3">
        <f t="shared" si="5"/>
        <v>6</v>
      </c>
      <c r="B10" s="32" t="s">
        <v>20</v>
      </c>
      <c r="C10" s="33" t="str">
        <f t="shared" si="0"/>
        <v>Liviano</v>
      </c>
      <c r="D10" s="33" t="str">
        <f t="shared" si="1"/>
        <v>VOLKSWAGEN</v>
      </c>
      <c r="E10" s="33" t="str">
        <f t="shared" si="2"/>
        <v>AMAROK</v>
      </c>
      <c r="F10" s="33" t="str">
        <f t="shared" si="3"/>
        <v>OGZ 054</v>
      </c>
      <c r="G10" s="34"/>
      <c r="H10" s="39" t="s">
        <v>15</v>
      </c>
      <c r="I10" s="40"/>
      <c r="J10" s="39" t="s">
        <v>15</v>
      </c>
      <c r="K10" s="40"/>
      <c r="L10" s="37"/>
      <c r="M10" s="38"/>
      <c r="N10" s="35">
        <v>0</v>
      </c>
      <c r="O10" s="36" t="str">
        <f t="shared" si="4"/>
        <v>Seleccione Estado</v>
      </c>
    </row>
    <row r="11" spans="1:15" s="3" customFormat="1" ht="26.25">
      <c r="A11" s="3">
        <f t="shared" si="5"/>
        <v>7</v>
      </c>
      <c r="B11" s="32" t="s">
        <v>21</v>
      </c>
      <c r="C11" s="33" t="str">
        <f t="shared" si="0"/>
        <v>Liviano</v>
      </c>
      <c r="D11" s="33" t="str">
        <f t="shared" si="1"/>
        <v>VOLKSWAGEN</v>
      </c>
      <c r="E11" s="33" t="str">
        <f t="shared" si="2"/>
        <v>AMAROK</v>
      </c>
      <c r="F11" s="33" t="str">
        <f t="shared" si="3"/>
        <v>AA 087 LA</v>
      </c>
      <c r="G11" s="34"/>
      <c r="H11" s="39" t="s">
        <v>15</v>
      </c>
      <c r="I11" s="40"/>
      <c r="J11" s="39" t="s">
        <v>15</v>
      </c>
      <c r="K11" s="40"/>
      <c r="L11" s="37"/>
      <c r="M11" s="38"/>
      <c r="N11" s="35">
        <v>0</v>
      </c>
      <c r="O11" s="36" t="str">
        <f t="shared" si="4"/>
        <v>Seleccione Estado</v>
      </c>
    </row>
    <row r="12" spans="1:15" s="3" customFormat="1" ht="26.25">
      <c r="A12" s="3">
        <f t="shared" si="5"/>
        <v>8</v>
      </c>
      <c r="B12" s="32" t="s">
        <v>22</v>
      </c>
      <c r="C12" s="33" t="str">
        <f t="shared" si="0"/>
        <v>Liviano</v>
      </c>
      <c r="D12" s="33" t="str">
        <f t="shared" si="1"/>
        <v>VOLKSWAGEN</v>
      </c>
      <c r="E12" s="33" t="str">
        <f t="shared" si="2"/>
        <v>AMAROK</v>
      </c>
      <c r="F12" s="33" t="str">
        <f t="shared" si="3"/>
        <v>NZF 438</v>
      </c>
      <c r="G12" s="34"/>
      <c r="H12" s="39" t="s">
        <v>15</v>
      </c>
      <c r="I12" s="40"/>
      <c r="J12" s="39" t="s">
        <v>15</v>
      </c>
      <c r="K12" s="40"/>
      <c r="L12" s="37"/>
      <c r="M12" s="38"/>
      <c r="N12" s="35">
        <v>0</v>
      </c>
      <c r="O12" s="36" t="str">
        <f t="shared" si="4"/>
        <v>Seleccione Estado</v>
      </c>
    </row>
    <row r="13" spans="1:15" s="3" customFormat="1" ht="26.25">
      <c r="A13" s="3">
        <f t="shared" si="5"/>
        <v>9</v>
      </c>
      <c r="B13" s="32" t="s">
        <v>23</v>
      </c>
      <c r="C13" s="33" t="str">
        <f t="shared" si="0"/>
        <v>Liviano</v>
      </c>
      <c r="D13" s="33" t="str">
        <f t="shared" si="1"/>
        <v>FIAT</v>
      </c>
      <c r="E13" s="33" t="str">
        <f t="shared" si="2"/>
        <v>STRADA</v>
      </c>
      <c r="F13" s="33" t="str">
        <f t="shared" si="3"/>
        <v>AH210SR</v>
      </c>
      <c r="G13" s="34"/>
      <c r="H13" s="39" t="s">
        <v>15</v>
      </c>
      <c r="I13" s="40"/>
      <c r="J13" s="39" t="s">
        <v>15</v>
      </c>
      <c r="K13" s="40"/>
      <c r="L13" s="37"/>
      <c r="M13" s="38"/>
      <c r="N13" s="35">
        <v>0</v>
      </c>
      <c r="O13" s="36" t="str">
        <f t="shared" si="4"/>
        <v>Seleccione Estado</v>
      </c>
    </row>
    <row r="14" spans="1:15" s="3" customFormat="1" ht="26.25">
      <c r="A14" s="3">
        <f t="shared" si="5"/>
        <v>10</v>
      </c>
      <c r="B14" s="32" t="s">
        <v>24</v>
      </c>
      <c r="C14" s="33" t="str">
        <f t="shared" si="0"/>
        <v>Liviano</v>
      </c>
      <c r="D14" s="33" t="str">
        <f t="shared" si="1"/>
        <v>FIAT</v>
      </c>
      <c r="E14" s="33" t="str">
        <f t="shared" si="2"/>
        <v>FIORINO</v>
      </c>
      <c r="F14" s="33" t="str">
        <f t="shared" si="3"/>
        <v>AH255OH</v>
      </c>
      <c r="G14" s="34"/>
      <c r="H14" s="39" t="s">
        <v>15</v>
      </c>
      <c r="I14" s="40"/>
      <c r="J14" s="39" t="s">
        <v>15</v>
      </c>
      <c r="K14" s="40"/>
      <c r="L14" s="37"/>
      <c r="M14" s="38"/>
      <c r="N14" s="35">
        <v>0</v>
      </c>
      <c r="O14" s="36" t="str">
        <f t="shared" si="4"/>
        <v>Seleccione Estado</v>
      </c>
    </row>
    <row r="15" spans="1:15" s="3" customFormat="1" ht="26.25">
      <c r="A15" s="3">
        <f t="shared" si="5"/>
        <v>11</v>
      </c>
      <c r="B15" s="32" t="s">
        <v>25</v>
      </c>
      <c r="C15" s="33" t="str">
        <f t="shared" si="0"/>
        <v>Liviano</v>
      </c>
      <c r="D15" s="33" t="str">
        <f t="shared" si="1"/>
        <v>TOYOTA</v>
      </c>
      <c r="E15" s="33" t="str">
        <f t="shared" si="2"/>
        <v>HILUX</v>
      </c>
      <c r="F15" s="33" t="str">
        <f t="shared" si="3"/>
        <v>AD761JW</v>
      </c>
      <c r="G15" s="34"/>
      <c r="H15" s="39" t="s">
        <v>15</v>
      </c>
      <c r="I15" s="40"/>
      <c r="J15" s="39" t="s">
        <v>15</v>
      </c>
      <c r="K15" s="40"/>
      <c r="L15" s="37"/>
      <c r="M15" s="38"/>
      <c r="N15" s="35">
        <v>0</v>
      </c>
      <c r="O15" s="36" t="str">
        <f t="shared" si="4"/>
        <v>Seleccione Estado</v>
      </c>
    </row>
    <row r="16" spans="1:15" s="3" customFormat="1" ht="26.25">
      <c r="A16" s="3">
        <f t="shared" si="5"/>
        <v>12</v>
      </c>
      <c r="B16" s="32" t="s">
        <v>19</v>
      </c>
      <c r="C16" s="33" t="str">
        <f t="shared" si="0"/>
        <v>Liviano</v>
      </c>
      <c r="D16" s="33" t="s">
        <v>26</v>
      </c>
      <c r="E16" s="33" t="s">
        <v>27</v>
      </c>
      <c r="F16" s="33" t="s">
        <v>28</v>
      </c>
      <c r="G16" s="34"/>
      <c r="H16" s="39" t="s">
        <v>15</v>
      </c>
      <c r="I16" s="40"/>
      <c r="J16" s="39" t="s">
        <v>15</v>
      </c>
      <c r="K16" s="40"/>
      <c r="L16" s="37"/>
      <c r="M16" s="38"/>
      <c r="N16" s="35">
        <v>0</v>
      </c>
      <c r="O16" s="36" t="str">
        <f t="shared" si="4"/>
        <v>Seleccione Estado</v>
      </c>
    </row>
    <row r="17" spans="1:15" s="3" customFormat="1" ht="26.25">
      <c r="A17" s="3">
        <f t="shared" si="5"/>
        <v>13</v>
      </c>
      <c r="B17" s="32" t="s">
        <v>23</v>
      </c>
      <c r="C17" s="33" t="str">
        <f t="shared" si="0"/>
        <v>Liviano</v>
      </c>
      <c r="D17" s="33" t="str">
        <f t="shared" ref="D17:D20" si="6">VLOOKUP(B17,unidad,3)</f>
        <v>FIAT</v>
      </c>
      <c r="E17" s="33" t="str">
        <f t="shared" ref="E17:E20" si="7">VLOOKUP(B17,unidad,4)</f>
        <v>STRADA</v>
      </c>
      <c r="F17" s="33" t="str">
        <f t="shared" ref="F17:F20" si="8">VLOOKUP(B17,unidad,5)</f>
        <v>AH210SR</v>
      </c>
      <c r="G17" s="34"/>
      <c r="H17" s="39" t="s">
        <v>15</v>
      </c>
      <c r="I17" s="40"/>
      <c r="J17" s="39" t="s">
        <v>15</v>
      </c>
      <c r="K17" s="40"/>
      <c r="L17" s="37"/>
      <c r="M17" s="38"/>
      <c r="N17" s="35">
        <v>0</v>
      </c>
      <c r="O17" s="36" t="str">
        <f t="shared" si="4"/>
        <v>Seleccione Estado</v>
      </c>
    </row>
    <row r="18" spans="1:15" s="3" customFormat="1" ht="26.25">
      <c r="A18" s="3">
        <f t="shared" si="5"/>
        <v>14</v>
      </c>
      <c r="B18" s="32" t="s">
        <v>29</v>
      </c>
      <c r="C18" s="33" t="str">
        <f t="shared" si="0"/>
        <v>Selecciona Equipo</v>
      </c>
      <c r="D18" s="33">
        <f t="shared" si="6"/>
        <v>0</v>
      </c>
      <c r="E18" s="33">
        <f t="shared" si="7"/>
        <v>0</v>
      </c>
      <c r="F18" s="33">
        <f t="shared" si="8"/>
        <v>0</v>
      </c>
      <c r="G18" s="34"/>
      <c r="H18" s="39" t="s">
        <v>15</v>
      </c>
      <c r="I18" s="40"/>
      <c r="J18" s="39" t="s">
        <v>15</v>
      </c>
      <c r="K18" s="40"/>
      <c r="L18" s="37"/>
      <c r="M18" s="38"/>
      <c r="N18" s="35">
        <v>0</v>
      </c>
      <c r="O18" s="36" t="str">
        <f t="shared" si="4"/>
        <v>Seleccione Estado</v>
      </c>
    </row>
    <row r="19" spans="1:15" s="3" customFormat="1" ht="26.25">
      <c r="A19" s="3">
        <f t="shared" si="5"/>
        <v>15</v>
      </c>
      <c r="B19" s="32" t="s">
        <v>29</v>
      </c>
      <c r="C19" s="33" t="str">
        <f t="shared" si="0"/>
        <v>Selecciona Equipo</v>
      </c>
      <c r="D19" s="33">
        <f t="shared" si="6"/>
        <v>0</v>
      </c>
      <c r="E19" s="33">
        <f t="shared" si="7"/>
        <v>0</v>
      </c>
      <c r="F19" s="33">
        <f t="shared" si="8"/>
        <v>0</v>
      </c>
      <c r="G19" s="34"/>
      <c r="H19" s="39" t="s">
        <v>15</v>
      </c>
      <c r="I19" s="40"/>
      <c r="J19" s="39" t="s">
        <v>15</v>
      </c>
      <c r="K19" s="40"/>
      <c r="L19" s="37"/>
      <c r="M19" s="38"/>
      <c r="N19" s="35">
        <v>0</v>
      </c>
      <c r="O19" s="36" t="str">
        <f t="shared" si="4"/>
        <v>Seleccione Estado</v>
      </c>
    </row>
    <row r="20" spans="1:15" s="3" customFormat="1" ht="26.25">
      <c r="A20" s="3">
        <f t="shared" si="5"/>
        <v>16</v>
      </c>
      <c r="B20" s="32" t="s">
        <v>29</v>
      </c>
      <c r="C20" s="33" t="str">
        <f t="shared" si="0"/>
        <v>Selecciona Equipo</v>
      </c>
      <c r="D20" s="33">
        <f t="shared" si="6"/>
        <v>0</v>
      </c>
      <c r="E20" s="33">
        <f t="shared" si="7"/>
        <v>0</v>
      </c>
      <c r="F20" s="33">
        <f t="shared" si="8"/>
        <v>0</v>
      </c>
      <c r="G20" s="34"/>
      <c r="H20" s="39" t="s">
        <v>15</v>
      </c>
      <c r="I20" s="40"/>
      <c r="J20" s="39" t="s">
        <v>15</v>
      </c>
      <c r="K20" s="40"/>
      <c r="L20" s="37"/>
      <c r="M20" s="38"/>
      <c r="N20" s="35">
        <v>0</v>
      </c>
      <c r="O20" s="36" t="str">
        <f t="shared" si="4"/>
        <v>Seleccione Estado</v>
      </c>
    </row>
  </sheetData>
  <mergeCells count="4">
    <mergeCell ref="B1:F1"/>
    <mergeCell ref="H3:I3"/>
    <mergeCell ref="J3:K3"/>
    <mergeCell ref="N4:O4"/>
  </mergeCells>
  <conditionalFormatting sqref="O5:O20">
    <cfRule type="cellIs" dxfId="3" priority="1" operator="equal">
      <formula>"estado"</formula>
    </cfRule>
    <cfRule type="cellIs" dxfId="2" priority="2" operator="equal">
      <formula>"finalizado"</formula>
    </cfRule>
    <cfRule type="cellIs" dxfId="1" priority="3" operator="equal">
      <formula>"a confirmar"</formula>
    </cfRule>
    <cfRule type="cellIs" dxfId="0" priority="4" operator="equal">
      <formula>"en ejecucion"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1E00-000000000000}">
          <x14:formula1>
            <xm:f>Empresas!$A$15:$A$18</xm:f>
          </x14:formula1>
          <xm:sqref>N5:N20</xm:sqref>
        </x14:dataValidation>
        <x14:dataValidation type="list" allowBlank="1" showInputMessage="1" showErrorMessage="1" xr:uid="{EEEC4B50-5571-4DF4-82B2-BEA64B4F038D}">
          <x14:formula1>
            <xm:f>Empresas!$C$28:$C$35</xm:f>
          </x14:formula1>
          <xm:sqref>H5:H20 J5:J20</xm:sqref>
        </x14:dataValidation>
        <x14:dataValidation type="list" allowBlank="1" showInputMessage="1" showErrorMessage="1" xr:uid="{63F9C441-8779-485C-AE77-D2504021BA1E}">
          <x14:formula1>
            <xm:f>Unidades!$B$4:$B$17</xm:f>
          </x14:formula1>
          <xm:sqref>B5:B20</xm:sqref>
        </x14:dataValidation>
        <x14:dataValidation type="list" allowBlank="1" showInputMessage="1" showErrorMessage="1" xr:uid="{3F355555-8258-47B8-B6D2-760CBB5E54F5}">
          <x14:formula1>
            <xm:f>Personal!$B$1:$B$52</xm:f>
          </x14:formula1>
          <xm:sqref>G5:G20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 tint="0.79998168889431442"/>
  </sheetPr>
  <dimension ref="A1:E35"/>
  <sheetViews>
    <sheetView workbookViewId="0">
      <selection activeCell="C2" sqref="C2"/>
    </sheetView>
  </sheetViews>
  <sheetFormatPr defaultColWidth="6.5703125" defaultRowHeight="15.75"/>
  <cols>
    <col min="1" max="1" width="8.140625" style="18" bestFit="1" customWidth="1"/>
    <col min="2" max="2" width="34.5703125" style="21" hidden="1" customWidth="1"/>
    <col min="3" max="3" width="31.42578125" style="21" customWidth="1"/>
    <col min="4" max="4" width="15.85546875" style="21" bestFit="1" customWidth="1"/>
    <col min="5" max="5" width="25.5703125" style="21" bestFit="1" customWidth="1"/>
    <col min="6" max="16384" width="6.5703125" style="21"/>
  </cols>
  <sheetData>
    <row r="1" spans="1:5" s="18" customForma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>
      <c r="A2" s="2" t="s">
        <v>57</v>
      </c>
      <c r="B2" s="19" t="s">
        <v>58</v>
      </c>
      <c r="C2" s="19" t="s">
        <v>58</v>
      </c>
      <c r="D2" s="19" t="s">
        <v>59</v>
      </c>
      <c r="E2" s="20">
        <v>42674</v>
      </c>
    </row>
    <row r="3" spans="1:5">
      <c r="A3" s="2" t="s">
        <v>60</v>
      </c>
      <c r="B3" s="19" t="s">
        <v>61</v>
      </c>
      <c r="C3" s="19" t="s">
        <v>62</v>
      </c>
      <c r="D3" s="19" t="s">
        <v>63</v>
      </c>
      <c r="E3" s="20">
        <v>42735</v>
      </c>
    </row>
    <row r="4" spans="1:5">
      <c r="A4" s="2" t="s">
        <v>64</v>
      </c>
      <c r="B4" s="19" t="s">
        <v>65</v>
      </c>
      <c r="C4" s="19" t="s">
        <v>66</v>
      </c>
      <c r="D4" s="19" t="s">
        <v>67</v>
      </c>
      <c r="E4" s="20">
        <v>42735</v>
      </c>
    </row>
    <row r="5" spans="1:5">
      <c r="A5" s="2" t="s">
        <v>68</v>
      </c>
      <c r="B5" s="19" t="s">
        <v>69</v>
      </c>
      <c r="C5" s="19" t="s">
        <v>70</v>
      </c>
      <c r="D5" s="19" t="s">
        <v>71</v>
      </c>
      <c r="E5" s="20">
        <v>42735</v>
      </c>
    </row>
    <row r="6" spans="1:5">
      <c r="A6" s="2" t="s">
        <v>72</v>
      </c>
      <c r="B6" s="19" t="s">
        <v>73</v>
      </c>
      <c r="C6" s="19" t="s">
        <v>73</v>
      </c>
      <c r="D6" s="19" t="s">
        <v>74</v>
      </c>
      <c r="E6" s="20">
        <v>42490</v>
      </c>
    </row>
    <row r="7" spans="1:5">
      <c r="A7" s="2" t="s">
        <v>75</v>
      </c>
      <c r="B7" s="19" t="s">
        <v>76</v>
      </c>
      <c r="C7" s="19" t="s">
        <v>76</v>
      </c>
      <c r="D7" s="19" t="s">
        <v>77</v>
      </c>
      <c r="E7" s="20">
        <v>42735</v>
      </c>
    </row>
    <row r="8" spans="1:5">
      <c r="A8" s="2" t="s">
        <v>78</v>
      </c>
      <c r="B8" s="19" t="s">
        <v>79</v>
      </c>
      <c r="C8" s="19" t="s">
        <v>79</v>
      </c>
      <c r="D8" s="19" t="s">
        <v>80</v>
      </c>
      <c r="E8" s="20">
        <v>42735</v>
      </c>
    </row>
    <row r="9" spans="1:5">
      <c r="A9" s="2" t="s">
        <v>81</v>
      </c>
      <c r="B9" s="19" t="s">
        <v>82</v>
      </c>
      <c r="C9" s="19" t="s">
        <v>82</v>
      </c>
      <c r="D9" s="19" t="s">
        <v>83</v>
      </c>
    </row>
    <row r="10" spans="1:5">
      <c r="A10" s="2" t="s">
        <v>84</v>
      </c>
      <c r="B10" s="19" t="s">
        <v>85</v>
      </c>
      <c r="C10" s="19" t="s">
        <v>85</v>
      </c>
      <c r="D10" s="19" t="s">
        <v>86</v>
      </c>
      <c r="E10" s="21" t="s">
        <v>87</v>
      </c>
    </row>
    <row r="11" spans="1:5">
      <c r="A11" s="2"/>
      <c r="B11" s="19"/>
      <c r="C11" s="19"/>
      <c r="D11" s="19"/>
    </row>
    <row r="12" spans="1:5">
      <c r="A12" s="2"/>
      <c r="B12" s="19"/>
      <c r="C12" s="19"/>
      <c r="D12" s="19"/>
    </row>
    <row r="13" spans="1:5">
      <c r="A13" s="2" t="s">
        <v>88</v>
      </c>
      <c r="B13" s="19" t="s">
        <v>89</v>
      </c>
      <c r="C13" s="19" t="s">
        <v>89</v>
      </c>
      <c r="D13" s="19"/>
    </row>
    <row r="14" spans="1:5">
      <c r="A14" s="2"/>
      <c r="B14" s="19"/>
      <c r="C14" s="19"/>
      <c r="D14" s="19"/>
    </row>
    <row r="15" spans="1:5">
      <c r="A15" s="22">
        <v>0</v>
      </c>
      <c r="B15" s="23"/>
      <c r="C15" s="23" t="s">
        <v>90</v>
      </c>
    </row>
    <row r="16" spans="1:5">
      <c r="A16" s="30">
        <v>1</v>
      </c>
      <c r="B16" s="31"/>
      <c r="C16" s="31" t="s">
        <v>91</v>
      </c>
    </row>
    <row r="17" spans="1:3">
      <c r="A17" s="24">
        <v>2</v>
      </c>
      <c r="B17" s="25"/>
      <c r="C17" s="25" t="s">
        <v>92</v>
      </c>
    </row>
    <row r="18" spans="1:3">
      <c r="A18" s="26">
        <v>3</v>
      </c>
      <c r="B18" s="27"/>
      <c r="C18" s="27" t="s">
        <v>93</v>
      </c>
    </row>
    <row r="22" spans="1:3">
      <c r="A22" s="22">
        <v>0</v>
      </c>
      <c r="B22" s="23"/>
      <c r="C22" s="23" t="s">
        <v>94</v>
      </c>
    </row>
    <row r="23" spans="1:3">
      <c r="A23" s="28">
        <v>1</v>
      </c>
      <c r="B23" s="29"/>
      <c r="C23" s="29" t="s">
        <v>95</v>
      </c>
    </row>
    <row r="24" spans="1:3">
      <c r="A24" s="28">
        <v>2</v>
      </c>
      <c r="B24" s="29"/>
      <c r="C24" s="29" t="s">
        <v>96</v>
      </c>
    </row>
    <row r="25" spans="1:3">
      <c r="A25" s="28">
        <v>3</v>
      </c>
      <c r="B25" s="29"/>
      <c r="C25" s="29" t="s">
        <v>97</v>
      </c>
    </row>
    <row r="28" spans="1:3">
      <c r="A28" s="18" t="s">
        <v>98</v>
      </c>
      <c r="C28" s="21" t="s">
        <v>15</v>
      </c>
    </row>
    <row r="29" spans="1:3">
      <c r="A29" s="18" t="s">
        <v>99</v>
      </c>
      <c r="C29" s="21" t="s">
        <v>100</v>
      </c>
    </row>
    <row r="30" spans="1:3">
      <c r="A30" s="18" t="s">
        <v>101</v>
      </c>
      <c r="C30" s="21" t="s">
        <v>102</v>
      </c>
    </row>
    <row r="31" spans="1:3">
      <c r="A31" s="18" t="s">
        <v>103</v>
      </c>
      <c r="C31" s="21" t="s">
        <v>104</v>
      </c>
    </row>
    <row r="32" spans="1:3">
      <c r="A32" s="18" t="s">
        <v>105</v>
      </c>
      <c r="C32" s="21" t="s">
        <v>106</v>
      </c>
    </row>
    <row r="33" spans="1:3">
      <c r="A33" s="18" t="s">
        <v>107</v>
      </c>
      <c r="C33" s="21" t="s">
        <v>108</v>
      </c>
    </row>
    <row r="34" spans="1:3">
      <c r="A34" s="18" t="s">
        <v>109</v>
      </c>
      <c r="C34" s="21" t="s">
        <v>110</v>
      </c>
    </row>
    <row r="35" spans="1:3">
      <c r="A35" s="18" t="s">
        <v>111</v>
      </c>
      <c r="C35" s="21" t="s">
        <v>112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55"/>
  <sheetViews>
    <sheetView topLeftCell="A32" workbookViewId="0">
      <selection activeCell="G4" sqref="G4"/>
    </sheetView>
  </sheetViews>
  <sheetFormatPr defaultColWidth="11.42578125" defaultRowHeight="12.75"/>
  <cols>
    <col min="1" max="1" width="8.42578125" style="45" customWidth="1"/>
    <col min="2" max="2" width="26.140625" style="45" bestFit="1" customWidth="1"/>
    <col min="3" max="3" width="34.5703125" style="45" bestFit="1" customWidth="1"/>
    <col min="4" max="4" width="9.5703125" style="45" bestFit="1" customWidth="1"/>
    <col min="5" max="16384" width="11.42578125" style="45"/>
  </cols>
  <sheetData>
    <row r="1" spans="1:4" s="41" customFormat="1" ht="15.75">
      <c r="A1" s="42" t="s">
        <v>68</v>
      </c>
      <c r="B1" s="43" t="s">
        <v>43</v>
      </c>
      <c r="C1" s="44" t="s">
        <v>70</v>
      </c>
      <c r="D1" s="42" t="s">
        <v>113</v>
      </c>
    </row>
    <row r="2" spans="1:4" ht="15.75">
      <c r="A2" s="42" t="s">
        <v>64</v>
      </c>
      <c r="B2" s="43" t="s">
        <v>114</v>
      </c>
      <c r="C2" s="44" t="s">
        <v>65</v>
      </c>
      <c r="D2" s="42" t="s">
        <v>115</v>
      </c>
    </row>
    <row r="3" spans="1:4" ht="15.75">
      <c r="A3" s="42" t="s">
        <v>72</v>
      </c>
      <c r="B3" s="43" t="s">
        <v>116</v>
      </c>
      <c r="C3" s="44" t="s">
        <v>73</v>
      </c>
      <c r="D3" s="42"/>
    </row>
    <row r="4" spans="1:4" ht="15.75">
      <c r="A4" s="42" t="s">
        <v>57</v>
      </c>
      <c r="B4" s="43" t="s">
        <v>35</v>
      </c>
      <c r="C4" s="44" t="s">
        <v>58</v>
      </c>
      <c r="D4" s="42" t="s">
        <v>98</v>
      </c>
    </row>
    <row r="5" spans="1:4" ht="15.75">
      <c r="A5" s="42" t="s">
        <v>57</v>
      </c>
      <c r="B5" s="43" t="s">
        <v>34</v>
      </c>
      <c r="C5" s="44" t="s">
        <v>76</v>
      </c>
      <c r="D5" s="42"/>
    </row>
    <row r="6" spans="1:4" ht="15.75">
      <c r="A6" s="42" t="s">
        <v>64</v>
      </c>
      <c r="B6" s="43" t="s">
        <v>50</v>
      </c>
      <c r="C6" s="44" t="s">
        <v>65</v>
      </c>
      <c r="D6" s="42" t="s">
        <v>117</v>
      </c>
    </row>
    <row r="7" spans="1:4" ht="15.75">
      <c r="A7" s="42" t="s">
        <v>68</v>
      </c>
      <c r="B7" s="47" t="s">
        <v>118</v>
      </c>
      <c r="C7" s="44" t="s">
        <v>70</v>
      </c>
      <c r="D7" s="46" t="s">
        <v>119</v>
      </c>
    </row>
    <row r="8" spans="1:4" ht="15.75">
      <c r="A8" s="42" t="s">
        <v>68</v>
      </c>
      <c r="B8" s="47" t="s">
        <v>41</v>
      </c>
      <c r="C8" s="44" t="s">
        <v>70</v>
      </c>
      <c r="D8" s="46"/>
    </row>
    <row r="9" spans="1:4" ht="15" customHeight="1">
      <c r="A9" s="42" t="s">
        <v>72</v>
      </c>
      <c r="B9" s="43" t="s">
        <v>120</v>
      </c>
      <c r="C9" s="44" t="s">
        <v>65</v>
      </c>
      <c r="D9" s="42" t="s">
        <v>121</v>
      </c>
    </row>
    <row r="10" spans="1:4" ht="15.75">
      <c r="A10" s="42" t="s">
        <v>60</v>
      </c>
      <c r="B10" s="43" t="s">
        <v>122</v>
      </c>
      <c r="C10" s="44" t="s">
        <v>61</v>
      </c>
      <c r="D10" s="42" t="s">
        <v>109</v>
      </c>
    </row>
    <row r="11" spans="1:4" ht="15.75">
      <c r="A11" s="42"/>
      <c r="B11" s="43" t="s">
        <v>42</v>
      </c>
      <c r="C11" s="44" t="s">
        <v>123</v>
      </c>
      <c r="D11" s="42"/>
    </row>
    <row r="12" spans="1:4" ht="15.75">
      <c r="A12" s="42" t="s">
        <v>64</v>
      </c>
      <c r="B12" s="43" t="s">
        <v>124</v>
      </c>
      <c r="C12" s="44" t="s">
        <v>65</v>
      </c>
      <c r="D12" s="42"/>
    </row>
    <row r="13" spans="1:4" ht="15.75">
      <c r="A13" s="42" t="s">
        <v>68</v>
      </c>
      <c r="B13" s="43" t="s">
        <v>37</v>
      </c>
      <c r="C13" s="44" t="s">
        <v>70</v>
      </c>
      <c r="D13" s="42" t="s">
        <v>125</v>
      </c>
    </row>
    <row r="14" spans="1:4" ht="15.75">
      <c r="A14" s="42" t="s">
        <v>75</v>
      </c>
      <c r="B14" s="43" t="s">
        <v>126</v>
      </c>
      <c r="C14" s="44" t="s">
        <v>76</v>
      </c>
      <c r="D14" s="42" t="s">
        <v>127</v>
      </c>
    </row>
    <row r="15" spans="1:4" ht="15.75">
      <c r="A15" s="42" t="s">
        <v>60</v>
      </c>
      <c r="B15" s="43" t="s">
        <v>128</v>
      </c>
      <c r="C15" s="44" t="s">
        <v>61</v>
      </c>
      <c r="D15" s="42" t="s">
        <v>111</v>
      </c>
    </row>
    <row r="16" spans="1:4" ht="15.75">
      <c r="A16" s="42" t="s">
        <v>68</v>
      </c>
      <c r="B16" s="43" t="s">
        <v>48</v>
      </c>
      <c r="C16" s="44" t="s">
        <v>70</v>
      </c>
      <c r="D16" s="42" t="s">
        <v>129</v>
      </c>
    </row>
    <row r="17" spans="1:4" ht="15.75">
      <c r="A17" s="42" t="s">
        <v>68</v>
      </c>
      <c r="B17" s="43" t="s">
        <v>130</v>
      </c>
      <c r="C17" s="44" t="s">
        <v>70</v>
      </c>
      <c r="D17" s="42" t="s">
        <v>131</v>
      </c>
    </row>
    <row r="18" spans="1:4" ht="15.75">
      <c r="A18" s="42" t="s">
        <v>60</v>
      </c>
      <c r="B18" s="43" t="s">
        <v>132</v>
      </c>
      <c r="C18" s="44" t="s">
        <v>61</v>
      </c>
      <c r="D18" s="42" t="s">
        <v>133</v>
      </c>
    </row>
    <row r="19" spans="1:4" ht="15.75">
      <c r="A19" s="42" t="s">
        <v>68</v>
      </c>
      <c r="B19" s="43" t="s">
        <v>79</v>
      </c>
      <c r="C19" s="44" t="s">
        <v>70</v>
      </c>
      <c r="D19" s="42" t="s">
        <v>134</v>
      </c>
    </row>
    <row r="20" spans="1:4" ht="15.75">
      <c r="A20" s="42" t="s">
        <v>64</v>
      </c>
      <c r="B20" s="43" t="s">
        <v>135</v>
      </c>
      <c r="C20" s="44" t="s">
        <v>65</v>
      </c>
      <c r="D20" s="42" t="s">
        <v>136</v>
      </c>
    </row>
    <row r="21" spans="1:4" ht="15.75">
      <c r="A21" s="42" t="s">
        <v>57</v>
      </c>
      <c r="B21" s="43" t="s">
        <v>137</v>
      </c>
      <c r="C21" s="44" t="s">
        <v>58</v>
      </c>
      <c r="D21" s="42" t="s">
        <v>99</v>
      </c>
    </row>
    <row r="22" spans="1:4" ht="15" customHeight="1">
      <c r="A22" s="42" t="s">
        <v>57</v>
      </c>
      <c r="B22" s="43" t="s">
        <v>138</v>
      </c>
      <c r="C22" s="44" t="s">
        <v>58</v>
      </c>
      <c r="D22" s="42" t="s">
        <v>101</v>
      </c>
    </row>
    <row r="23" spans="1:4" ht="15.75">
      <c r="A23" s="42" t="s">
        <v>72</v>
      </c>
      <c r="B23" s="43" t="s">
        <v>139</v>
      </c>
      <c r="C23" s="44" t="s">
        <v>73</v>
      </c>
      <c r="D23" s="42" t="s">
        <v>140</v>
      </c>
    </row>
    <row r="24" spans="1:4" ht="15.75">
      <c r="A24" s="42" t="s">
        <v>75</v>
      </c>
      <c r="B24" s="43" t="s">
        <v>141</v>
      </c>
      <c r="C24" s="44" t="s">
        <v>76</v>
      </c>
      <c r="D24" s="42" t="s">
        <v>142</v>
      </c>
    </row>
    <row r="25" spans="1:4" ht="15.75">
      <c r="A25" s="42" t="s">
        <v>68</v>
      </c>
      <c r="B25" s="43" t="s">
        <v>143</v>
      </c>
      <c r="C25" s="44" t="s">
        <v>70</v>
      </c>
      <c r="D25" s="42" t="s">
        <v>144</v>
      </c>
    </row>
    <row r="26" spans="1:4" ht="15.75">
      <c r="A26" s="42" t="s">
        <v>75</v>
      </c>
      <c r="B26" s="43" t="s">
        <v>145</v>
      </c>
      <c r="C26" s="44" t="s">
        <v>76</v>
      </c>
      <c r="D26" s="42" t="s">
        <v>146</v>
      </c>
    </row>
    <row r="27" spans="1:4" ht="15.75">
      <c r="A27" s="42" t="s">
        <v>72</v>
      </c>
      <c r="B27" s="43" t="s">
        <v>39</v>
      </c>
      <c r="C27" s="44" t="s">
        <v>73</v>
      </c>
      <c r="D27" s="42" t="s">
        <v>147</v>
      </c>
    </row>
    <row r="28" spans="1:4" ht="15.75">
      <c r="A28" s="42" t="s">
        <v>72</v>
      </c>
      <c r="B28" s="43" t="s">
        <v>148</v>
      </c>
      <c r="C28" s="44" t="s">
        <v>73</v>
      </c>
      <c r="D28" s="42" t="s">
        <v>149</v>
      </c>
    </row>
    <row r="29" spans="1:4" ht="15.75">
      <c r="A29" s="42" t="s">
        <v>75</v>
      </c>
      <c r="B29" s="43" t="s">
        <v>49</v>
      </c>
      <c r="C29" s="44" t="s">
        <v>76</v>
      </c>
      <c r="D29" s="42" t="s">
        <v>150</v>
      </c>
    </row>
    <row r="30" spans="1:4" ht="15.75">
      <c r="A30" s="42" t="s">
        <v>57</v>
      </c>
      <c r="B30" s="43" t="s">
        <v>151</v>
      </c>
      <c r="C30" s="44" t="s">
        <v>58</v>
      </c>
      <c r="D30" s="42" t="s">
        <v>103</v>
      </c>
    </row>
    <row r="31" spans="1:4" ht="15.75">
      <c r="A31" s="42"/>
      <c r="B31" s="43" t="s">
        <v>152</v>
      </c>
      <c r="C31" s="44"/>
      <c r="D31" s="42"/>
    </row>
    <row r="32" spans="1:4" ht="15.75">
      <c r="A32" s="42" t="s">
        <v>81</v>
      </c>
      <c r="B32" s="43" t="s">
        <v>44</v>
      </c>
      <c r="C32" s="44" t="s">
        <v>82</v>
      </c>
      <c r="D32" s="42" t="s">
        <v>153</v>
      </c>
    </row>
    <row r="33" spans="1:4" ht="15.75">
      <c r="A33" s="42" t="s">
        <v>64</v>
      </c>
      <c r="B33" s="43" t="s">
        <v>154</v>
      </c>
      <c r="C33" s="44" t="s">
        <v>65</v>
      </c>
      <c r="D33" s="42"/>
    </row>
    <row r="34" spans="1:4" ht="15.75">
      <c r="A34" s="42" t="s">
        <v>75</v>
      </c>
      <c r="B34" s="43" t="s">
        <v>155</v>
      </c>
      <c r="C34" s="44" t="s">
        <v>76</v>
      </c>
      <c r="D34" s="42" t="s">
        <v>156</v>
      </c>
    </row>
    <row r="35" spans="1:4" ht="15.75">
      <c r="A35" s="42" t="s">
        <v>81</v>
      </c>
      <c r="B35" s="43" t="s">
        <v>157</v>
      </c>
      <c r="C35" s="44" t="s">
        <v>123</v>
      </c>
      <c r="D35" s="42" t="s">
        <v>158</v>
      </c>
    </row>
    <row r="36" spans="1:4" ht="15.75">
      <c r="A36" s="42" t="s">
        <v>81</v>
      </c>
      <c r="B36" s="43" t="s">
        <v>159</v>
      </c>
      <c r="C36" s="44" t="s">
        <v>123</v>
      </c>
      <c r="D36" s="42" t="s">
        <v>160</v>
      </c>
    </row>
    <row r="37" spans="1:4" ht="15.75">
      <c r="A37" s="42"/>
      <c r="B37" s="43" t="s">
        <v>161</v>
      </c>
      <c r="C37" s="44" t="s">
        <v>123</v>
      </c>
      <c r="D37" s="42"/>
    </row>
    <row r="38" spans="1:4" ht="15.75">
      <c r="A38" s="42" t="s">
        <v>75</v>
      </c>
      <c r="B38" s="43" t="s">
        <v>40</v>
      </c>
      <c r="C38" s="44" t="s">
        <v>76</v>
      </c>
      <c r="D38" s="42" t="s">
        <v>162</v>
      </c>
    </row>
    <row r="39" spans="1:4" ht="15.75">
      <c r="A39" s="42"/>
      <c r="B39" s="43" t="s">
        <v>45</v>
      </c>
      <c r="C39" s="44" t="s">
        <v>123</v>
      </c>
      <c r="D39" s="42"/>
    </row>
    <row r="40" spans="1:4" ht="15.75">
      <c r="A40" s="42" t="s">
        <v>72</v>
      </c>
      <c r="B40" s="43" t="s">
        <v>163</v>
      </c>
      <c r="C40" s="44" t="s">
        <v>73</v>
      </c>
      <c r="D40" s="42" t="s">
        <v>164</v>
      </c>
    </row>
    <row r="41" spans="1:4" ht="15.75">
      <c r="A41" s="42" t="s">
        <v>68</v>
      </c>
      <c r="B41" s="43" t="s">
        <v>165</v>
      </c>
      <c r="C41" s="44" t="s">
        <v>70</v>
      </c>
      <c r="D41" s="42" t="s">
        <v>166</v>
      </c>
    </row>
    <row r="42" spans="1:4" ht="15.75">
      <c r="A42" s="42" t="s">
        <v>64</v>
      </c>
      <c r="B42" s="43" t="s">
        <v>167</v>
      </c>
      <c r="C42" s="44" t="s">
        <v>65</v>
      </c>
      <c r="D42" s="42" t="s">
        <v>158</v>
      </c>
    </row>
    <row r="43" spans="1:4" ht="15.75">
      <c r="A43" s="42" t="s">
        <v>81</v>
      </c>
      <c r="B43" s="43" t="s">
        <v>168</v>
      </c>
      <c r="C43" s="44" t="s">
        <v>82</v>
      </c>
      <c r="D43" s="42" t="s">
        <v>169</v>
      </c>
    </row>
    <row r="44" spans="1:4" ht="15.75">
      <c r="A44" s="42"/>
      <c r="B44" s="43" t="s">
        <v>170</v>
      </c>
      <c r="C44" s="44" t="s">
        <v>123</v>
      </c>
      <c r="D44" s="42"/>
    </row>
    <row r="45" spans="1:4" ht="15.75">
      <c r="A45" s="42" t="s">
        <v>57</v>
      </c>
      <c r="B45" s="43" t="s">
        <v>33</v>
      </c>
      <c r="C45" s="44" t="s">
        <v>76</v>
      </c>
      <c r="D45" s="42"/>
    </row>
    <row r="46" spans="1:4" ht="15.75">
      <c r="A46" s="46" t="s">
        <v>68</v>
      </c>
      <c r="B46" s="43" t="s">
        <v>171</v>
      </c>
      <c r="C46" s="44" t="s">
        <v>70</v>
      </c>
      <c r="D46" s="42"/>
    </row>
    <row r="47" spans="1:4" ht="15" customHeight="1">
      <c r="A47" s="42" t="s">
        <v>72</v>
      </c>
      <c r="B47" s="43" t="s">
        <v>172</v>
      </c>
      <c r="C47" s="44" t="s">
        <v>73</v>
      </c>
      <c r="D47" s="42" t="s">
        <v>173</v>
      </c>
    </row>
    <row r="48" spans="1:4" ht="15" customHeight="1">
      <c r="A48" s="42" t="s">
        <v>64</v>
      </c>
      <c r="B48" s="43" t="s">
        <v>174</v>
      </c>
      <c r="C48" s="44" t="s">
        <v>65</v>
      </c>
      <c r="D48" s="42"/>
    </row>
    <row r="49" spans="1:4" ht="15.75">
      <c r="A49" s="42" t="s">
        <v>75</v>
      </c>
      <c r="B49" s="43" t="s">
        <v>175</v>
      </c>
      <c r="C49" s="44" t="s">
        <v>76</v>
      </c>
      <c r="D49" s="42" t="s">
        <v>176</v>
      </c>
    </row>
    <row r="50" spans="1:4" ht="15.75">
      <c r="A50" s="42" t="s">
        <v>72</v>
      </c>
      <c r="B50" s="43" t="s">
        <v>38</v>
      </c>
      <c r="C50" s="44" t="s">
        <v>73</v>
      </c>
      <c r="D50" s="42" t="s">
        <v>177</v>
      </c>
    </row>
    <row r="51" spans="1:4" ht="15.75">
      <c r="A51" s="42" t="s">
        <v>57</v>
      </c>
      <c r="B51" s="43" t="s">
        <v>36</v>
      </c>
      <c r="C51" s="44" t="s">
        <v>58</v>
      </c>
      <c r="D51" s="42" t="s">
        <v>107</v>
      </c>
    </row>
    <row r="52" spans="1:4" ht="15.75">
      <c r="A52" s="42" t="s">
        <v>64</v>
      </c>
      <c r="B52" s="43" t="s">
        <v>178</v>
      </c>
      <c r="C52" s="44" t="s">
        <v>65</v>
      </c>
      <c r="D52" s="42" t="s">
        <v>179</v>
      </c>
    </row>
    <row r="53" spans="1:4" ht="15.75">
      <c r="A53" s="42"/>
      <c r="B53" s="43"/>
      <c r="C53" s="44"/>
      <c r="D53" s="42"/>
    </row>
    <row r="54" spans="1:4">
      <c r="A54" s="48"/>
      <c r="B54" s="48"/>
      <c r="C54" s="48"/>
      <c r="D54" s="48"/>
    </row>
    <row r="55" spans="1:4">
      <c r="A55" s="48"/>
      <c r="B55" s="48"/>
      <c r="C55" s="48"/>
      <c r="D55" s="48"/>
    </row>
  </sheetData>
  <sortState xmlns:xlrd2="http://schemas.microsoft.com/office/spreadsheetml/2017/richdata2" ref="A2:L64">
    <sortCondition ref="E2:E64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7"/>
  <sheetViews>
    <sheetView topLeftCell="A4" workbookViewId="0">
      <selection activeCell="B7" sqref="B7"/>
    </sheetView>
  </sheetViews>
  <sheetFormatPr defaultColWidth="11.42578125" defaultRowHeight="26.25"/>
  <cols>
    <col min="1" max="1" width="12.85546875" style="4" bestFit="1" customWidth="1"/>
    <col min="2" max="2" width="18.42578125" style="17" bestFit="1" customWidth="1"/>
    <col min="3" max="3" width="22.42578125" style="4" customWidth="1"/>
    <col min="4" max="4" width="24.85546875" style="4" customWidth="1"/>
    <col min="5" max="5" width="23.28515625" style="4" customWidth="1"/>
    <col min="6" max="6" width="20.7109375" style="16" bestFit="1" customWidth="1"/>
    <col min="7" max="208" width="11.42578125" style="3"/>
    <col min="209" max="209" width="10.5703125" style="3" bestFit="1" customWidth="1"/>
    <col min="210" max="210" width="15.140625" style="3" customWidth="1"/>
    <col min="211" max="211" width="18.28515625" style="3" customWidth="1"/>
    <col min="212" max="212" width="11.42578125" style="3"/>
    <col min="213" max="213" width="15.140625" style="3" customWidth="1"/>
    <col min="214" max="214" width="12.28515625" style="3" bestFit="1" customWidth="1"/>
    <col min="215" max="215" width="14.42578125" style="3" bestFit="1" customWidth="1"/>
    <col min="216" max="464" width="11.42578125" style="3"/>
    <col min="465" max="465" width="10.5703125" style="3" bestFit="1" customWidth="1"/>
    <col min="466" max="466" width="15.140625" style="3" customWidth="1"/>
    <col min="467" max="467" width="18.28515625" style="3" customWidth="1"/>
    <col min="468" max="468" width="11.42578125" style="3"/>
    <col min="469" max="469" width="15.140625" style="3" customWidth="1"/>
    <col min="470" max="470" width="12.28515625" style="3" bestFit="1" customWidth="1"/>
    <col min="471" max="471" width="14.42578125" style="3" bestFit="1" customWidth="1"/>
    <col min="472" max="720" width="11.42578125" style="3"/>
    <col min="721" max="721" width="10.5703125" style="3" bestFit="1" customWidth="1"/>
    <col min="722" max="722" width="15.140625" style="3" customWidth="1"/>
    <col min="723" max="723" width="18.28515625" style="3" customWidth="1"/>
    <col min="724" max="724" width="11.42578125" style="3"/>
    <col min="725" max="725" width="15.140625" style="3" customWidth="1"/>
    <col min="726" max="726" width="12.28515625" style="3" bestFit="1" customWidth="1"/>
    <col min="727" max="727" width="14.42578125" style="3" bestFit="1" customWidth="1"/>
    <col min="728" max="976" width="11.42578125" style="3"/>
    <col min="977" max="977" width="10.5703125" style="3" bestFit="1" customWidth="1"/>
    <col min="978" max="978" width="15.140625" style="3" customWidth="1"/>
    <col min="979" max="979" width="18.28515625" style="3" customWidth="1"/>
    <col min="980" max="980" width="11.42578125" style="3"/>
    <col min="981" max="981" width="15.140625" style="3" customWidth="1"/>
    <col min="982" max="982" width="12.28515625" style="3" bestFit="1" customWidth="1"/>
    <col min="983" max="983" width="14.42578125" style="3" bestFit="1" customWidth="1"/>
    <col min="984" max="1232" width="11.42578125" style="3"/>
    <col min="1233" max="1233" width="10.5703125" style="3" bestFit="1" customWidth="1"/>
    <col min="1234" max="1234" width="15.140625" style="3" customWidth="1"/>
    <col min="1235" max="1235" width="18.28515625" style="3" customWidth="1"/>
    <col min="1236" max="1236" width="11.42578125" style="3"/>
    <col min="1237" max="1237" width="15.140625" style="3" customWidth="1"/>
    <col min="1238" max="1238" width="12.28515625" style="3" bestFit="1" customWidth="1"/>
    <col min="1239" max="1239" width="14.42578125" style="3" bestFit="1" customWidth="1"/>
    <col min="1240" max="1488" width="11.42578125" style="3"/>
    <col min="1489" max="1489" width="10.5703125" style="3" bestFit="1" customWidth="1"/>
    <col min="1490" max="1490" width="15.140625" style="3" customWidth="1"/>
    <col min="1491" max="1491" width="18.28515625" style="3" customWidth="1"/>
    <col min="1492" max="1492" width="11.42578125" style="3"/>
    <col min="1493" max="1493" width="15.140625" style="3" customWidth="1"/>
    <col min="1494" max="1494" width="12.28515625" style="3" bestFit="1" customWidth="1"/>
    <col min="1495" max="1495" width="14.42578125" style="3" bestFit="1" customWidth="1"/>
    <col min="1496" max="1744" width="11.42578125" style="3"/>
    <col min="1745" max="1745" width="10.5703125" style="3" bestFit="1" customWidth="1"/>
    <col min="1746" max="1746" width="15.140625" style="3" customWidth="1"/>
    <col min="1747" max="1747" width="18.28515625" style="3" customWidth="1"/>
    <col min="1748" max="1748" width="11.42578125" style="3"/>
    <col min="1749" max="1749" width="15.140625" style="3" customWidth="1"/>
    <col min="1750" max="1750" width="12.28515625" style="3" bestFit="1" customWidth="1"/>
    <col min="1751" max="1751" width="14.42578125" style="3" bestFit="1" customWidth="1"/>
    <col min="1752" max="2000" width="11.42578125" style="3"/>
    <col min="2001" max="2001" width="10.5703125" style="3" bestFit="1" customWidth="1"/>
    <col min="2002" max="2002" width="15.140625" style="3" customWidth="1"/>
    <col min="2003" max="2003" width="18.28515625" style="3" customWidth="1"/>
    <col min="2004" max="2004" width="11.42578125" style="3"/>
    <col min="2005" max="2005" width="15.140625" style="3" customWidth="1"/>
    <col min="2006" max="2006" width="12.28515625" style="3" bestFit="1" customWidth="1"/>
    <col min="2007" max="2007" width="14.42578125" style="3" bestFit="1" customWidth="1"/>
    <col min="2008" max="2256" width="11.42578125" style="3"/>
    <col min="2257" max="2257" width="10.5703125" style="3" bestFit="1" customWidth="1"/>
    <col min="2258" max="2258" width="15.140625" style="3" customWidth="1"/>
    <col min="2259" max="2259" width="18.28515625" style="3" customWidth="1"/>
    <col min="2260" max="2260" width="11.42578125" style="3"/>
    <col min="2261" max="2261" width="15.140625" style="3" customWidth="1"/>
    <col min="2262" max="2262" width="12.28515625" style="3" bestFit="1" customWidth="1"/>
    <col min="2263" max="2263" width="14.42578125" style="3" bestFit="1" customWidth="1"/>
    <col min="2264" max="2512" width="11.42578125" style="3"/>
    <col min="2513" max="2513" width="10.5703125" style="3" bestFit="1" customWidth="1"/>
    <col min="2514" max="2514" width="15.140625" style="3" customWidth="1"/>
    <col min="2515" max="2515" width="18.28515625" style="3" customWidth="1"/>
    <col min="2516" max="2516" width="11.42578125" style="3"/>
    <col min="2517" max="2517" width="15.140625" style="3" customWidth="1"/>
    <col min="2518" max="2518" width="12.28515625" style="3" bestFit="1" customWidth="1"/>
    <col min="2519" max="2519" width="14.42578125" style="3" bestFit="1" customWidth="1"/>
    <col min="2520" max="2768" width="11.42578125" style="3"/>
    <col min="2769" max="2769" width="10.5703125" style="3" bestFit="1" customWidth="1"/>
    <col min="2770" max="2770" width="15.140625" style="3" customWidth="1"/>
    <col min="2771" max="2771" width="18.28515625" style="3" customWidth="1"/>
    <col min="2772" max="2772" width="11.42578125" style="3"/>
    <col min="2773" max="2773" width="15.140625" style="3" customWidth="1"/>
    <col min="2774" max="2774" width="12.28515625" style="3" bestFit="1" customWidth="1"/>
    <col min="2775" max="2775" width="14.42578125" style="3" bestFit="1" customWidth="1"/>
    <col min="2776" max="3024" width="11.42578125" style="3"/>
    <col min="3025" max="3025" width="10.5703125" style="3" bestFit="1" customWidth="1"/>
    <col min="3026" max="3026" width="15.140625" style="3" customWidth="1"/>
    <col min="3027" max="3027" width="18.28515625" style="3" customWidth="1"/>
    <col min="3028" max="3028" width="11.42578125" style="3"/>
    <col min="3029" max="3029" width="15.140625" style="3" customWidth="1"/>
    <col min="3030" max="3030" width="12.28515625" style="3" bestFit="1" customWidth="1"/>
    <col min="3031" max="3031" width="14.42578125" style="3" bestFit="1" customWidth="1"/>
    <col min="3032" max="3280" width="11.42578125" style="3"/>
    <col min="3281" max="3281" width="10.5703125" style="3" bestFit="1" customWidth="1"/>
    <col min="3282" max="3282" width="15.140625" style="3" customWidth="1"/>
    <col min="3283" max="3283" width="18.28515625" style="3" customWidth="1"/>
    <col min="3284" max="3284" width="11.42578125" style="3"/>
    <col min="3285" max="3285" width="15.140625" style="3" customWidth="1"/>
    <col min="3286" max="3286" width="12.28515625" style="3" bestFit="1" customWidth="1"/>
    <col min="3287" max="3287" width="14.42578125" style="3" bestFit="1" customWidth="1"/>
    <col min="3288" max="3536" width="11.42578125" style="3"/>
    <col min="3537" max="3537" width="10.5703125" style="3" bestFit="1" customWidth="1"/>
    <col min="3538" max="3538" width="15.140625" style="3" customWidth="1"/>
    <col min="3539" max="3539" width="18.28515625" style="3" customWidth="1"/>
    <col min="3540" max="3540" width="11.42578125" style="3"/>
    <col min="3541" max="3541" width="15.140625" style="3" customWidth="1"/>
    <col min="3542" max="3542" width="12.28515625" style="3" bestFit="1" customWidth="1"/>
    <col min="3543" max="3543" width="14.42578125" style="3" bestFit="1" customWidth="1"/>
    <col min="3544" max="3792" width="11.42578125" style="3"/>
    <col min="3793" max="3793" width="10.5703125" style="3" bestFit="1" customWidth="1"/>
    <col min="3794" max="3794" width="15.140625" style="3" customWidth="1"/>
    <col min="3795" max="3795" width="18.28515625" style="3" customWidth="1"/>
    <col min="3796" max="3796" width="11.42578125" style="3"/>
    <col min="3797" max="3797" width="15.140625" style="3" customWidth="1"/>
    <col min="3798" max="3798" width="12.28515625" style="3" bestFit="1" customWidth="1"/>
    <col min="3799" max="3799" width="14.42578125" style="3" bestFit="1" customWidth="1"/>
    <col min="3800" max="4048" width="11.42578125" style="3"/>
    <col min="4049" max="4049" width="10.5703125" style="3" bestFit="1" customWidth="1"/>
    <col min="4050" max="4050" width="15.140625" style="3" customWidth="1"/>
    <col min="4051" max="4051" width="18.28515625" style="3" customWidth="1"/>
    <col min="4052" max="4052" width="11.42578125" style="3"/>
    <col min="4053" max="4053" width="15.140625" style="3" customWidth="1"/>
    <col min="4054" max="4054" width="12.28515625" style="3" bestFit="1" customWidth="1"/>
    <col min="4055" max="4055" width="14.42578125" style="3" bestFit="1" customWidth="1"/>
    <col min="4056" max="4304" width="11.42578125" style="3"/>
    <col min="4305" max="4305" width="10.5703125" style="3" bestFit="1" customWidth="1"/>
    <col min="4306" max="4306" width="15.140625" style="3" customWidth="1"/>
    <col min="4307" max="4307" width="18.28515625" style="3" customWidth="1"/>
    <col min="4308" max="4308" width="11.42578125" style="3"/>
    <col min="4309" max="4309" width="15.140625" style="3" customWidth="1"/>
    <col min="4310" max="4310" width="12.28515625" style="3" bestFit="1" customWidth="1"/>
    <col min="4311" max="4311" width="14.42578125" style="3" bestFit="1" customWidth="1"/>
    <col min="4312" max="4560" width="11.42578125" style="3"/>
    <col min="4561" max="4561" width="10.5703125" style="3" bestFit="1" customWidth="1"/>
    <col min="4562" max="4562" width="15.140625" style="3" customWidth="1"/>
    <col min="4563" max="4563" width="18.28515625" style="3" customWidth="1"/>
    <col min="4564" max="4564" width="11.42578125" style="3"/>
    <col min="4565" max="4565" width="15.140625" style="3" customWidth="1"/>
    <col min="4566" max="4566" width="12.28515625" style="3" bestFit="1" customWidth="1"/>
    <col min="4567" max="4567" width="14.42578125" style="3" bestFit="1" customWidth="1"/>
    <col min="4568" max="4816" width="11.42578125" style="3"/>
    <col min="4817" max="4817" width="10.5703125" style="3" bestFit="1" customWidth="1"/>
    <col min="4818" max="4818" width="15.140625" style="3" customWidth="1"/>
    <col min="4819" max="4819" width="18.28515625" style="3" customWidth="1"/>
    <col min="4820" max="4820" width="11.42578125" style="3"/>
    <col min="4821" max="4821" width="15.140625" style="3" customWidth="1"/>
    <col min="4822" max="4822" width="12.28515625" style="3" bestFit="1" customWidth="1"/>
    <col min="4823" max="4823" width="14.42578125" style="3" bestFit="1" customWidth="1"/>
    <col min="4824" max="5072" width="11.42578125" style="3"/>
    <col min="5073" max="5073" width="10.5703125" style="3" bestFit="1" customWidth="1"/>
    <col min="5074" max="5074" width="15.140625" style="3" customWidth="1"/>
    <col min="5075" max="5075" width="18.28515625" style="3" customWidth="1"/>
    <col min="5076" max="5076" width="11.42578125" style="3"/>
    <col min="5077" max="5077" width="15.140625" style="3" customWidth="1"/>
    <col min="5078" max="5078" width="12.28515625" style="3" bestFit="1" customWidth="1"/>
    <col min="5079" max="5079" width="14.42578125" style="3" bestFit="1" customWidth="1"/>
    <col min="5080" max="5328" width="11.42578125" style="3"/>
    <col min="5329" max="5329" width="10.5703125" style="3" bestFit="1" customWidth="1"/>
    <col min="5330" max="5330" width="15.140625" style="3" customWidth="1"/>
    <col min="5331" max="5331" width="18.28515625" style="3" customWidth="1"/>
    <col min="5332" max="5332" width="11.42578125" style="3"/>
    <col min="5333" max="5333" width="15.140625" style="3" customWidth="1"/>
    <col min="5334" max="5334" width="12.28515625" style="3" bestFit="1" customWidth="1"/>
    <col min="5335" max="5335" width="14.42578125" style="3" bestFit="1" customWidth="1"/>
    <col min="5336" max="5584" width="11.42578125" style="3"/>
    <col min="5585" max="5585" width="10.5703125" style="3" bestFit="1" customWidth="1"/>
    <col min="5586" max="5586" width="15.140625" style="3" customWidth="1"/>
    <col min="5587" max="5587" width="18.28515625" style="3" customWidth="1"/>
    <col min="5588" max="5588" width="11.42578125" style="3"/>
    <col min="5589" max="5589" width="15.140625" style="3" customWidth="1"/>
    <col min="5590" max="5590" width="12.28515625" style="3" bestFit="1" customWidth="1"/>
    <col min="5591" max="5591" width="14.42578125" style="3" bestFit="1" customWidth="1"/>
    <col min="5592" max="5840" width="11.42578125" style="3"/>
    <col min="5841" max="5841" width="10.5703125" style="3" bestFit="1" customWidth="1"/>
    <col min="5842" max="5842" width="15.140625" style="3" customWidth="1"/>
    <col min="5843" max="5843" width="18.28515625" style="3" customWidth="1"/>
    <col min="5844" max="5844" width="11.42578125" style="3"/>
    <col min="5845" max="5845" width="15.140625" style="3" customWidth="1"/>
    <col min="5846" max="5846" width="12.28515625" style="3" bestFit="1" customWidth="1"/>
    <col min="5847" max="5847" width="14.42578125" style="3" bestFit="1" customWidth="1"/>
    <col min="5848" max="6096" width="11.42578125" style="3"/>
    <col min="6097" max="6097" width="10.5703125" style="3" bestFit="1" customWidth="1"/>
    <col min="6098" max="6098" width="15.140625" style="3" customWidth="1"/>
    <col min="6099" max="6099" width="18.28515625" style="3" customWidth="1"/>
    <col min="6100" max="6100" width="11.42578125" style="3"/>
    <col min="6101" max="6101" width="15.140625" style="3" customWidth="1"/>
    <col min="6102" max="6102" width="12.28515625" style="3" bestFit="1" customWidth="1"/>
    <col min="6103" max="6103" width="14.42578125" style="3" bestFit="1" customWidth="1"/>
    <col min="6104" max="6352" width="11.42578125" style="3"/>
    <col min="6353" max="6353" width="10.5703125" style="3" bestFit="1" customWidth="1"/>
    <col min="6354" max="6354" width="15.140625" style="3" customWidth="1"/>
    <col min="6355" max="6355" width="18.28515625" style="3" customWidth="1"/>
    <col min="6356" max="6356" width="11.42578125" style="3"/>
    <col min="6357" max="6357" width="15.140625" style="3" customWidth="1"/>
    <col min="6358" max="6358" width="12.28515625" style="3" bestFit="1" customWidth="1"/>
    <col min="6359" max="6359" width="14.42578125" style="3" bestFit="1" customWidth="1"/>
    <col min="6360" max="6608" width="11.42578125" style="3"/>
    <col min="6609" max="6609" width="10.5703125" style="3" bestFit="1" customWidth="1"/>
    <col min="6610" max="6610" width="15.140625" style="3" customWidth="1"/>
    <col min="6611" max="6611" width="18.28515625" style="3" customWidth="1"/>
    <col min="6612" max="6612" width="11.42578125" style="3"/>
    <col min="6613" max="6613" width="15.140625" style="3" customWidth="1"/>
    <col min="6614" max="6614" width="12.28515625" style="3" bestFit="1" customWidth="1"/>
    <col min="6615" max="6615" width="14.42578125" style="3" bestFit="1" customWidth="1"/>
    <col min="6616" max="6864" width="11.42578125" style="3"/>
    <col min="6865" max="6865" width="10.5703125" style="3" bestFit="1" customWidth="1"/>
    <col min="6866" max="6866" width="15.140625" style="3" customWidth="1"/>
    <col min="6867" max="6867" width="18.28515625" style="3" customWidth="1"/>
    <col min="6868" max="6868" width="11.42578125" style="3"/>
    <col min="6869" max="6869" width="15.140625" style="3" customWidth="1"/>
    <col min="6870" max="6870" width="12.28515625" style="3" bestFit="1" customWidth="1"/>
    <col min="6871" max="6871" width="14.42578125" style="3" bestFit="1" customWidth="1"/>
    <col min="6872" max="7120" width="11.42578125" style="3"/>
    <col min="7121" max="7121" width="10.5703125" style="3" bestFit="1" customWidth="1"/>
    <col min="7122" max="7122" width="15.140625" style="3" customWidth="1"/>
    <col min="7123" max="7123" width="18.28515625" style="3" customWidth="1"/>
    <col min="7124" max="7124" width="11.42578125" style="3"/>
    <col min="7125" max="7125" width="15.140625" style="3" customWidth="1"/>
    <col min="7126" max="7126" width="12.28515625" style="3" bestFit="1" customWidth="1"/>
    <col min="7127" max="7127" width="14.42578125" style="3" bestFit="1" customWidth="1"/>
    <col min="7128" max="7376" width="11.42578125" style="3"/>
    <col min="7377" max="7377" width="10.5703125" style="3" bestFit="1" customWidth="1"/>
    <col min="7378" max="7378" width="15.140625" style="3" customWidth="1"/>
    <col min="7379" max="7379" width="18.28515625" style="3" customWidth="1"/>
    <col min="7380" max="7380" width="11.42578125" style="3"/>
    <col min="7381" max="7381" width="15.140625" style="3" customWidth="1"/>
    <col min="7382" max="7382" width="12.28515625" style="3" bestFit="1" customWidth="1"/>
    <col min="7383" max="7383" width="14.42578125" style="3" bestFit="1" customWidth="1"/>
    <col min="7384" max="7632" width="11.42578125" style="3"/>
    <col min="7633" max="7633" width="10.5703125" style="3" bestFit="1" customWidth="1"/>
    <col min="7634" max="7634" width="15.140625" style="3" customWidth="1"/>
    <col min="7635" max="7635" width="18.28515625" style="3" customWidth="1"/>
    <col min="7636" max="7636" width="11.42578125" style="3"/>
    <col min="7637" max="7637" width="15.140625" style="3" customWidth="1"/>
    <col min="7638" max="7638" width="12.28515625" style="3" bestFit="1" customWidth="1"/>
    <col min="7639" max="7639" width="14.42578125" style="3" bestFit="1" customWidth="1"/>
    <col min="7640" max="7888" width="11.42578125" style="3"/>
    <col min="7889" max="7889" width="10.5703125" style="3" bestFit="1" customWidth="1"/>
    <col min="7890" max="7890" width="15.140625" style="3" customWidth="1"/>
    <col min="7891" max="7891" width="18.28515625" style="3" customWidth="1"/>
    <col min="7892" max="7892" width="11.42578125" style="3"/>
    <col min="7893" max="7893" width="15.140625" style="3" customWidth="1"/>
    <col min="7894" max="7894" width="12.28515625" style="3" bestFit="1" customWidth="1"/>
    <col min="7895" max="7895" width="14.42578125" style="3" bestFit="1" customWidth="1"/>
    <col min="7896" max="8144" width="11.42578125" style="3"/>
    <col min="8145" max="8145" width="10.5703125" style="3" bestFit="1" customWidth="1"/>
    <col min="8146" max="8146" width="15.140625" style="3" customWidth="1"/>
    <col min="8147" max="8147" width="18.28515625" style="3" customWidth="1"/>
    <col min="8148" max="8148" width="11.42578125" style="3"/>
    <col min="8149" max="8149" width="15.140625" style="3" customWidth="1"/>
    <col min="8150" max="8150" width="12.28515625" style="3" bestFit="1" customWidth="1"/>
    <col min="8151" max="8151" width="14.42578125" style="3" bestFit="1" customWidth="1"/>
    <col min="8152" max="8400" width="11.42578125" style="3"/>
    <col min="8401" max="8401" width="10.5703125" style="3" bestFit="1" customWidth="1"/>
    <col min="8402" max="8402" width="15.140625" style="3" customWidth="1"/>
    <col min="8403" max="8403" width="18.28515625" style="3" customWidth="1"/>
    <col min="8404" max="8404" width="11.42578125" style="3"/>
    <col min="8405" max="8405" width="15.140625" style="3" customWidth="1"/>
    <col min="8406" max="8406" width="12.28515625" style="3" bestFit="1" customWidth="1"/>
    <col min="8407" max="8407" width="14.42578125" style="3" bestFit="1" customWidth="1"/>
    <col min="8408" max="8656" width="11.42578125" style="3"/>
    <col min="8657" max="8657" width="10.5703125" style="3" bestFit="1" customWidth="1"/>
    <col min="8658" max="8658" width="15.140625" style="3" customWidth="1"/>
    <col min="8659" max="8659" width="18.28515625" style="3" customWidth="1"/>
    <col min="8660" max="8660" width="11.42578125" style="3"/>
    <col min="8661" max="8661" width="15.140625" style="3" customWidth="1"/>
    <col min="8662" max="8662" width="12.28515625" style="3" bestFit="1" customWidth="1"/>
    <col min="8663" max="8663" width="14.42578125" style="3" bestFit="1" customWidth="1"/>
    <col min="8664" max="8912" width="11.42578125" style="3"/>
    <col min="8913" max="8913" width="10.5703125" style="3" bestFit="1" customWidth="1"/>
    <col min="8914" max="8914" width="15.140625" style="3" customWidth="1"/>
    <col min="8915" max="8915" width="18.28515625" style="3" customWidth="1"/>
    <col min="8916" max="8916" width="11.42578125" style="3"/>
    <col min="8917" max="8917" width="15.140625" style="3" customWidth="1"/>
    <col min="8918" max="8918" width="12.28515625" style="3" bestFit="1" customWidth="1"/>
    <col min="8919" max="8919" width="14.42578125" style="3" bestFit="1" customWidth="1"/>
    <col min="8920" max="9168" width="11.42578125" style="3"/>
    <col min="9169" max="9169" width="10.5703125" style="3" bestFit="1" customWidth="1"/>
    <col min="9170" max="9170" width="15.140625" style="3" customWidth="1"/>
    <col min="9171" max="9171" width="18.28515625" style="3" customWidth="1"/>
    <col min="9172" max="9172" width="11.42578125" style="3"/>
    <col min="9173" max="9173" width="15.140625" style="3" customWidth="1"/>
    <col min="9174" max="9174" width="12.28515625" style="3" bestFit="1" customWidth="1"/>
    <col min="9175" max="9175" width="14.42578125" style="3" bestFit="1" customWidth="1"/>
    <col min="9176" max="9424" width="11.42578125" style="3"/>
    <col min="9425" max="9425" width="10.5703125" style="3" bestFit="1" customWidth="1"/>
    <col min="9426" max="9426" width="15.140625" style="3" customWidth="1"/>
    <col min="9427" max="9427" width="18.28515625" style="3" customWidth="1"/>
    <col min="9428" max="9428" width="11.42578125" style="3"/>
    <col min="9429" max="9429" width="15.140625" style="3" customWidth="1"/>
    <col min="9430" max="9430" width="12.28515625" style="3" bestFit="1" customWidth="1"/>
    <col min="9431" max="9431" width="14.42578125" style="3" bestFit="1" customWidth="1"/>
    <col min="9432" max="9680" width="11.42578125" style="3"/>
    <col min="9681" max="9681" width="10.5703125" style="3" bestFit="1" customWidth="1"/>
    <col min="9682" max="9682" width="15.140625" style="3" customWidth="1"/>
    <col min="9683" max="9683" width="18.28515625" style="3" customWidth="1"/>
    <col min="9684" max="9684" width="11.42578125" style="3"/>
    <col min="9685" max="9685" width="15.140625" style="3" customWidth="1"/>
    <col min="9686" max="9686" width="12.28515625" style="3" bestFit="1" customWidth="1"/>
    <col min="9687" max="9687" width="14.42578125" style="3" bestFit="1" customWidth="1"/>
    <col min="9688" max="9936" width="11.42578125" style="3"/>
    <col min="9937" max="9937" width="10.5703125" style="3" bestFit="1" customWidth="1"/>
    <col min="9938" max="9938" width="15.140625" style="3" customWidth="1"/>
    <col min="9939" max="9939" width="18.28515625" style="3" customWidth="1"/>
    <col min="9940" max="9940" width="11.42578125" style="3"/>
    <col min="9941" max="9941" width="15.140625" style="3" customWidth="1"/>
    <col min="9942" max="9942" width="12.28515625" style="3" bestFit="1" customWidth="1"/>
    <col min="9943" max="9943" width="14.42578125" style="3" bestFit="1" customWidth="1"/>
    <col min="9944" max="10192" width="11.42578125" style="3"/>
    <col min="10193" max="10193" width="10.5703125" style="3" bestFit="1" customWidth="1"/>
    <col min="10194" max="10194" width="15.140625" style="3" customWidth="1"/>
    <col min="10195" max="10195" width="18.28515625" style="3" customWidth="1"/>
    <col min="10196" max="10196" width="11.42578125" style="3"/>
    <col min="10197" max="10197" width="15.140625" style="3" customWidth="1"/>
    <col min="10198" max="10198" width="12.28515625" style="3" bestFit="1" customWidth="1"/>
    <col min="10199" max="10199" width="14.42578125" style="3" bestFit="1" customWidth="1"/>
    <col min="10200" max="10448" width="11.42578125" style="3"/>
    <col min="10449" max="10449" width="10.5703125" style="3" bestFit="1" customWidth="1"/>
    <col min="10450" max="10450" width="15.140625" style="3" customWidth="1"/>
    <col min="10451" max="10451" width="18.28515625" style="3" customWidth="1"/>
    <col min="10452" max="10452" width="11.42578125" style="3"/>
    <col min="10453" max="10453" width="15.140625" style="3" customWidth="1"/>
    <col min="10454" max="10454" width="12.28515625" style="3" bestFit="1" customWidth="1"/>
    <col min="10455" max="10455" width="14.42578125" style="3" bestFit="1" customWidth="1"/>
    <col min="10456" max="10704" width="11.42578125" style="3"/>
    <col min="10705" max="10705" width="10.5703125" style="3" bestFit="1" customWidth="1"/>
    <col min="10706" max="10706" width="15.140625" style="3" customWidth="1"/>
    <col min="10707" max="10707" width="18.28515625" style="3" customWidth="1"/>
    <col min="10708" max="10708" width="11.42578125" style="3"/>
    <col min="10709" max="10709" width="15.140625" style="3" customWidth="1"/>
    <col min="10710" max="10710" width="12.28515625" style="3" bestFit="1" customWidth="1"/>
    <col min="10711" max="10711" width="14.42578125" style="3" bestFit="1" customWidth="1"/>
    <col min="10712" max="10960" width="11.42578125" style="3"/>
    <col min="10961" max="10961" width="10.5703125" style="3" bestFit="1" customWidth="1"/>
    <col min="10962" max="10962" width="15.140625" style="3" customWidth="1"/>
    <col min="10963" max="10963" width="18.28515625" style="3" customWidth="1"/>
    <col min="10964" max="10964" width="11.42578125" style="3"/>
    <col min="10965" max="10965" width="15.140625" style="3" customWidth="1"/>
    <col min="10966" max="10966" width="12.28515625" style="3" bestFit="1" customWidth="1"/>
    <col min="10967" max="10967" width="14.42578125" style="3" bestFit="1" customWidth="1"/>
    <col min="10968" max="11216" width="11.42578125" style="3"/>
    <col min="11217" max="11217" width="10.5703125" style="3" bestFit="1" customWidth="1"/>
    <col min="11218" max="11218" width="15.140625" style="3" customWidth="1"/>
    <col min="11219" max="11219" width="18.28515625" style="3" customWidth="1"/>
    <col min="11220" max="11220" width="11.42578125" style="3"/>
    <col min="11221" max="11221" width="15.140625" style="3" customWidth="1"/>
    <col min="11222" max="11222" width="12.28515625" style="3" bestFit="1" customWidth="1"/>
    <col min="11223" max="11223" width="14.42578125" style="3" bestFit="1" customWidth="1"/>
    <col min="11224" max="11472" width="11.42578125" style="3"/>
    <col min="11473" max="11473" width="10.5703125" style="3" bestFit="1" customWidth="1"/>
    <col min="11474" max="11474" width="15.140625" style="3" customWidth="1"/>
    <col min="11475" max="11475" width="18.28515625" style="3" customWidth="1"/>
    <col min="11476" max="11476" width="11.42578125" style="3"/>
    <col min="11477" max="11477" width="15.140625" style="3" customWidth="1"/>
    <col min="11478" max="11478" width="12.28515625" style="3" bestFit="1" customWidth="1"/>
    <col min="11479" max="11479" width="14.42578125" style="3" bestFit="1" customWidth="1"/>
    <col min="11480" max="11728" width="11.42578125" style="3"/>
    <col min="11729" max="11729" width="10.5703125" style="3" bestFit="1" customWidth="1"/>
    <col min="11730" max="11730" width="15.140625" style="3" customWidth="1"/>
    <col min="11731" max="11731" width="18.28515625" style="3" customWidth="1"/>
    <col min="11732" max="11732" width="11.42578125" style="3"/>
    <col min="11733" max="11733" width="15.140625" style="3" customWidth="1"/>
    <col min="11734" max="11734" width="12.28515625" style="3" bestFit="1" customWidth="1"/>
    <col min="11735" max="11735" width="14.42578125" style="3" bestFit="1" customWidth="1"/>
    <col min="11736" max="11984" width="11.42578125" style="3"/>
    <col min="11985" max="11985" width="10.5703125" style="3" bestFit="1" customWidth="1"/>
    <col min="11986" max="11986" width="15.140625" style="3" customWidth="1"/>
    <col min="11987" max="11987" width="18.28515625" style="3" customWidth="1"/>
    <col min="11988" max="11988" width="11.42578125" style="3"/>
    <col min="11989" max="11989" width="15.140625" style="3" customWidth="1"/>
    <col min="11990" max="11990" width="12.28515625" style="3" bestFit="1" customWidth="1"/>
    <col min="11991" max="11991" width="14.42578125" style="3" bestFit="1" customWidth="1"/>
    <col min="11992" max="12240" width="11.42578125" style="3"/>
    <col min="12241" max="12241" width="10.5703125" style="3" bestFit="1" customWidth="1"/>
    <col min="12242" max="12242" width="15.140625" style="3" customWidth="1"/>
    <col min="12243" max="12243" width="18.28515625" style="3" customWidth="1"/>
    <col min="12244" max="12244" width="11.42578125" style="3"/>
    <col min="12245" max="12245" width="15.140625" style="3" customWidth="1"/>
    <col min="12246" max="12246" width="12.28515625" style="3" bestFit="1" customWidth="1"/>
    <col min="12247" max="12247" width="14.42578125" style="3" bestFit="1" customWidth="1"/>
    <col min="12248" max="12496" width="11.42578125" style="3"/>
    <col min="12497" max="12497" width="10.5703125" style="3" bestFit="1" customWidth="1"/>
    <col min="12498" max="12498" width="15.140625" style="3" customWidth="1"/>
    <col min="12499" max="12499" width="18.28515625" style="3" customWidth="1"/>
    <col min="12500" max="12500" width="11.42578125" style="3"/>
    <col min="12501" max="12501" width="15.140625" style="3" customWidth="1"/>
    <col min="12502" max="12502" width="12.28515625" style="3" bestFit="1" customWidth="1"/>
    <col min="12503" max="12503" width="14.42578125" style="3" bestFit="1" customWidth="1"/>
    <col min="12504" max="12752" width="11.42578125" style="3"/>
    <col min="12753" max="12753" width="10.5703125" style="3" bestFit="1" customWidth="1"/>
    <col min="12754" max="12754" width="15.140625" style="3" customWidth="1"/>
    <col min="12755" max="12755" width="18.28515625" style="3" customWidth="1"/>
    <col min="12756" max="12756" width="11.42578125" style="3"/>
    <col min="12757" max="12757" width="15.140625" style="3" customWidth="1"/>
    <col min="12758" max="12758" width="12.28515625" style="3" bestFit="1" customWidth="1"/>
    <col min="12759" max="12759" width="14.42578125" style="3" bestFit="1" customWidth="1"/>
    <col min="12760" max="13008" width="11.42578125" style="3"/>
    <col min="13009" max="13009" width="10.5703125" style="3" bestFit="1" customWidth="1"/>
    <col min="13010" max="13010" width="15.140625" style="3" customWidth="1"/>
    <col min="13011" max="13011" width="18.28515625" style="3" customWidth="1"/>
    <col min="13012" max="13012" width="11.42578125" style="3"/>
    <col min="13013" max="13013" width="15.140625" style="3" customWidth="1"/>
    <col min="13014" max="13014" width="12.28515625" style="3" bestFit="1" customWidth="1"/>
    <col min="13015" max="13015" width="14.42578125" style="3" bestFit="1" customWidth="1"/>
    <col min="13016" max="13264" width="11.42578125" style="3"/>
    <col min="13265" max="13265" width="10.5703125" style="3" bestFit="1" customWidth="1"/>
    <col min="13266" max="13266" width="15.140625" style="3" customWidth="1"/>
    <col min="13267" max="13267" width="18.28515625" style="3" customWidth="1"/>
    <col min="13268" max="13268" width="11.42578125" style="3"/>
    <col min="13269" max="13269" width="15.140625" style="3" customWidth="1"/>
    <col min="13270" max="13270" width="12.28515625" style="3" bestFit="1" customWidth="1"/>
    <col min="13271" max="13271" width="14.42578125" style="3" bestFit="1" customWidth="1"/>
    <col min="13272" max="13520" width="11.42578125" style="3"/>
    <col min="13521" max="13521" width="10.5703125" style="3" bestFit="1" customWidth="1"/>
    <col min="13522" max="13522" width="15.140625" style="3" customWidth="1"/>
    <col min="13523" max="13523" width="18.28515625" style="3" customWidth="1"/>
    <col min="13524" max="13524" width="11.42578125" style="3"/>
    <col min="13525" max="13525" width="15.140625" style="3" customWidth="1"/>
    <col min="13526" max="13526" width="12.28515625" style="3" bestFit="1" customWidth="1"/>
    <col min="13527" max="13527" width="14.42578125" style="3" bestFit="1" customWidth="1"/>
    <col min="13528" max="13776" width="11.42578125" style="3"/>
    <col min="13777" max="13777" width="10.5703125" style="3" bestFit="1" customWidth="1"/>
    <col min="13778" max="13778" width="15.140625" style="3" customWidth="1"/>
    <col min="13779" max="13779" width="18.28515625" style="3" customWidth="1"/>
    <col min="13780" max="13780" width="11.42578125" style="3"/>
    <col min="13781" max="13781" width="15.140625" style="3" customWidth="1"/>
    <col min="13782" max="13782" width="12.28515625" style="3" bestFit="1" customWidth="1"/>
    <col min="13783" max="13783" width="14.42578125" style="3" bestFit="1" customWidth="1"/>
    <col min="13784" max="14032" width="11.42578125" style="3"/>
    <col min="14033" max="14033" width="10.5703125" style="3" bestFit="1" customWidth="1"/>
    <col min="14034" max="14034" width="15.140625" style="3" customWidth="1"/>
    <col min="14035" max="14035" width="18.28515625" style="3" customWidth="1"/>
    <col min="14036" max="14036" width="11.42578125" style="3"/>
    <col min="14037" max="14037" width="15.140625" style="3" customWidth="1"/>
    <col min="14038" max="14038" width="12.28515625" style="3" bestFit="1" customWidth="1"/>
    <col min="14039" max="14039" width="14.42578125" style="3" bestFit="1" customWidth="1"/>
    <col min="14040" max="14288" width="11.42578125" style="3"/>
    <col min="14289" max="14289" width="10.5703125" style="3" bestFit="1" customWidth="1"/>
    <col min="14290" max="14290" width="15.140625" style="3" customWidth="1"/>
    <col min="14291" max="14291" width="18.28515625" style="3" customWidth="1"/>
    <col min="14292" max="14292" width="11.42578125" style="3"/>
    <col min="14293" max="14293" width="15.140625" style="3" customWidth="1"/>
    <col min="14294" max="14294" width="12.28515625" style="3" bestFit="1" customWidth="1"/>
    <col min="14295" max="14295" width="14.42578125" style="3" bestFit="1" customWidth="1"/>
    <col min="14296" max="14544" width="11.42578125" style="3"/>
    <col min="14545" max="14545" width="10.5703125" style="3" bestFit="1" customWidth="1"/>
    <col min="14546" max="14546" width="15.140625" style="3" customWidth="1"/>
    <col min="14547" max="14547" width="18.28515625" style="3" customWidth="1"/>
    <col min="14548" max="14548" width="11.42578125" style="3"/>
    <col min="14549" max="14549" width="15.140625" style="3" customWidth="1"/>
    <col min="14550" max="14550" width="12.28515625" style="3" bestFit="1" customWidth="1"/>
    <col min="14551" max="14551" width="14.42578125" style="3" bestFit="1" customWidth="1"/>
    <col min="14552" max="14800" width="11.42578125" style="3"/>
    <col min="14801" max="14801" width="10.5703125" style="3" bestFit="1" customWidth="1"/>
    <col min="14802" max="14802" width="15.140625" style="3" customWidth="1"/>
    <col min="14803" max="14803" width="18.28515625" style="3" customWidth="1"/>
    <col min="14804" max="14804" width="11.42578125" style="3"/>
    <col min="14805" max="14805" width="15.140625" style="3" customWidth="1"/>
    <col min="14806" max="14806" width="12.28515625" style="3" bestFit="1" customWidth="1"/>
    <col min="14807" max="14807" width="14.42578125" style="3" bestFit="1" customWidth="1"/>
    <col min="14808" max="15056" width="11.42578125" style="3"/>
    <col min="15057" max="15057" width="10.5703125" style="3" bestFit="1" customWidth="1"/>
    <col min="15058" max="15058" width="15.140625" style="3" customWidth="1"/>
    <col min="15059" max="15059" width="18.28515625" style="3" customWidth="1"/>
    <col min="15060" max="15060" width="11.42578125" style="3"/>
    <col min="15061" max="15061" width="15.140625" style="3" customWidth="1"/>
    <col min="15062" max="15062" width="12.28515625" style="3" bestFit="1" customWidth="1"/>
    <col min="15063" max="15063" width="14.42578125" style="3" bestFit="1" customWidth="1"/>
    <col min="15064" max="15312" width="11.42578125" style="3"/>
    <col min="15313" max="15313" width="10.5703125" style="3" bestFit="1" customWidth="1"/>
    <col min="15314" max="15314" width="15.140625" style="3" customWidth="1"/>
    <col min="15315" max="15315" width="18.28515625" style="3" customWidth="1"/>
    <col min="15316" max="15316" width="11.42578125" style="3"/>
    <col min="15317" max="15317" width="15.140625" style="3" customWidth="1"/>
    <col min="15318" max="15318" width="12.28515625" style="3" bestFit="1" customWidth="1"/>
    <col min="15319" max="15319" width="14.42578125" style="3" bestFit="1" customWidth="1"/>
    <col min="15320" max="15568" width="11.42578125" style="3"/>
    <col min="15569" max="15569" width="10.5703125" style="3" bestFit="1" customWidth="1"/>
    <col min="15570" max="15570" width="15.140625" style="3" customWidth="1"/>
    <col min="15571" max="15571" width="18.28515625" style="3" customWidth="1"/>
    <col min="15572" max="15572" width="11.42578125" style="3"/>
    <col min="15573" max="15573" width="15.140625" style="3" customWidth="1"/>
    <col min="15574" max="15574" width="12.28515625" style="3" bestFit="1" customWidth="1"/>
    <col min="15575" max="15575" width="14.42578125" style="3" bestFit="1" customWidth="1"/>
    <col min="15576" max="15824" width="11.42578125" style="3"/>
    <col min="15825" max="15825" width="10.5703125" style="3" bestFit="1" customWidth="1"/>
    <col min="15826" max="15826" width="15.140625" style="3" customWidth="1"/>
    <col min="15827" max="15827" width="18.28515625" style="3" customWidth="1"/>
    <col min="15828" max="15828" width="11.42578125" style="3"/>
    <col min="15829" max="15829" width="15.140625" style="3" customWidth="1"/>
    <col min="15830" max="15830" width="12.28515625" style="3" bestFit="1" customWidth="1"/>
    <col min="15831" max="15831" width="14.42578125" style="3" bestFit="1" customWidth="1"/>
    <col min="15832" max="16080" width="11.42578125" style="3"/>
    <col min="16081" max="16081" width="10.5703125" style="3" bestFit="1" customWidth="1"/>
    <col min="16082" max="16082" width="15.140625" style="3" customWidth="1"/>
    <col min="16083" max="16083" width="18.28515625" style="3" customWidth="1"/>
    <col min="16084" max="16084" width="11.42578125" style="3"/>
    <col min="16085" max="16085" width="15.140625" style="3" customWidth="1"/>
    <col min="16086" max="16086" width="12.28515625" style="3" bestFit="1" customWidth="1"/>
    <col min="16087" max="16087" width="14.42578125" style="3" bestFit="1" customWidth="1"/>
    <col min="16088" max="16384" width="11.42578125" style="3"/>
  </cols>
  <sheetData>
    <row r="1" spans="1:6" ht="31.5">
      <c r="A1" s="69" t="s">
        <v>180</v>
      </c>
      <c r="B1" s="69"/>
      <c r="C1" s="49"/>
      <c r="D1" s="49"/>
    </row>
    <row r="3" spans="1:6" s="16" customFormat="1" ht="18.75">
      <c r="A3" s="50" t="s">
        <v>181</v>
      </c>
      <c r="B3" s="50" t="s">
        <v>182</v>
      </c>
      <c r="C3" s="51" t="s">
        <v>5</v>
      </c>
      <c r="D3" s="51" t="s">
        <v>6</v>
      </c>
      <c r="E3" s="51" t="s">
        <v>7</v>
      </c>
      <c r="F3" s="51" t="s">
        <v>183</v>
      </c>
    </row>
    <row r="4" spans="1:6">
      <c r="A4" s="52">
        <v>0</v>
      </c>
      <c r="B4" s="53" t="s">
        <v>29</v>
      </c>
      <c r="C4" s="52" t="s">
        <v>184</v>
      </c>
      <c r="D4" s="52"/>
      <c r="E4" s="52"/>
      <c r="F4" s="54"/>
    </row>
    <row r="5" spans="1:6">
      <c r="A5" s="52">
        <v>1</v>
      </c>
      <c r="B5" s="53" t="s">
        <v>14</v>
      </c>
      <c r="C5" s="52" t="s">
        <v>185</v>
      </c>
      <c r="D5" s="52" t="s">
        <v>186</v>
      </c>
      <c r="E5" s="52" t="s">
        <v>187</v>
      </c>
      <c r="F5" s="54" t="s">
        <v>188</v>
      </c>
    </row>
    <row r="6" spans="1:6">
      <c r="A6" s="52">
        <v>2</v>
      </c>
      <c r="B6" s="53" t="s">
        <v>16</v>
      </c>
      <c r="C6" s="52" t="s">
        <v>185</v>
      </c>
      <c r="D6" s="52" t="s">
        <v>186</v>
      </c>
      <c r="E6" s="52" t="s">
        <v>187</v>
      </c>
      <c r="F6" s="54" t="s">
        <v>189</v>
      </c>
    </row>
    <row r="7" spans="1:6">
      <c r="A7" s="52">
        <v>3</v>
      </c>
      <c r="B7" s="53" t="s">
        <v>17</v>
      </c>
      <c r="C7" s="52" t="s">
        <v>185</v>
      </c>
      <c r="D7" s="52" t="s">
        <v>190</v>
      </c>
      <c r="E7" s="52" t="s">
        <v>191</v>
      </c>
      <c r="F7" s="54" t="s">
        <v>192</v>
      </c>
    </row>
    <row r="8" spans="1:6">
      <c r="A8" s="52">
        <v>4</v>
      </c>
      <c r="B8" s="53" t="s">
        <v>18</v>
      </c>
      <c r="C8" s="52" t="s">
        <v>185</v>
      </c>
      <c r="D8" s="52" t="s">
        <v>186</v>
      </c>
      <c r="E8" s="52" t="s">
        <v>193</v>
      </c>
      <c r="F8" s="54" t="s">
        <v>194</v>
      </c>
    </row>
    <row r="9" spans="1:6">
      <c r="A9" s="52">
        <v>5</v>
      </c>
      <c r="B9" s="53" t="s">
        <v>20</v>
      </c>
      <c r="C9" s="52" t="s">
        <v>185</v>
      </c>
      <c r="D9" s="52" t="s">
        <v>195</v>
      </c>
      <c r="E9" s="52" t="s">
        <v>196</v>
      </c>
      <c r="F9" s="54" t="s">
        <v>197</v>
      </c>
    </row>
    <row r="10" spans="1:6">
      <c r="A10" s="52">
        <v>6</v>
      </c>
      <c r="B10" s="53" t="s">
        <v>21</v>
      </c>
      <c r="C10" s="52" t="s">
        <v>185</v>
      </c>
      <c r="D10" s="52" t="s">
        <v>195</v>
      </c>
      <c r="E10" s="52" t="s">
        <v>196</v>
      </c>
      <c r="F10" s="54" t="s">
        <v>198</v>
      </c>
    </row>
    <row r="11" spans="1:6">
      <c r="A11" s="52">
        <v>7</v>
      </c>
      <c r="B11" s="53" t="s">
        <v>22</v>
      </c>
      <c r="C11" s="52" t="s">
        <v>185</v>
      </c>
      <c r="D11" s="52" t="s">
        <v>195</v>
      </c>
      <c r="E11" s="52" t="s">
        <v>196</v>
      </c>
      <c r="F11" s="54" t="s">
        <v>199</v>
      </c>
    </row>
    <row r="12" spans="1:6">
      <c r="A12" s="52">
        <v>8</v>
      </c>
      <c r="B12" s="53" t="s">
        <v>200</v>
      </c>
      <c r="C12" s="52" t="s">
        <v>185</v>
      </c>
      <c r="D12" s="52" t="s">
        <v>201</v>
      </c>
      <c r="E12" s="52" t="s">
        <v>202</v>
      </c>
      <c r="F12" s="54" t="s">
        <v>203</v>
      </c>
    </row>
    <row r="13" spans="1:6">
      <c r="A13" s="52">
        <v>9</v>
      </c>
      <c r="B13" s="53" t="s">
        <v>19</v>
      </c>
      <c r="C13" s="52" t="s">
        <v>185</v>
      </c>
      <c r="D13" s="52" t="s">
        <v>204</v>
      </c>
      <c r="E13" s="52" t="s">
        <v>27</v>
      </c>
      <c r="F13" s="54" t="s">
        <v>205</v>
      </c>
    </row>
    <row r="14" spans="1:6">
      <c r="A14" s="52">
        <v>10</v>
      </c>
      <c r="B14" s="53" t="s">
        <v>25</v>
      </c>
      <c r="C14" s="52" t="s">
        <v>185</v>
      </c>
      <c r="D14" s="52" t="s">
        <v>206</v>
      </c>
      <c r="E14" s="52" t="s">
        <v>207</v>
      </c>
      <c r="F14" s="54" t="s">
        <v>208</v>
      </c>
    </row>
    <row r="15" spans="1:6">
      <c r="A15" s="52">
        <v>11</v>
      </c>
      <c r="B15" s="53" t="s">
        <v>23</v>
      </c>
      <c r="C15" s="52" t="s">
        <v>185</v>
      </c>
      <c r="D15" s="52" t="s">
        <v>186</v>
      </c>
      <c r="E15" s="52" t="s">
        <v>209</v>
      </c>
      <c r="F15" s="54" t="s">
        <v>210</v>
      </c>
    </row>
    <row r="16" spans="1:6">
      <c r="A16" s="52">
        <v>12</v>
      </c>
      <c r="B16" s="53" t="s">
        <v>24</v>
      </c>
      <c r="C16" s="52" t="s">
        <v>185</v>
      </c>
      <c r="D16" s="52" t="s">
        <v>186</v>
      </c>
      <c r="E16" s="52" t="s">
        <v>193</v>
      </c>
      <c r="F16" s="54" t="s">
        <v>211</v>
      </c>
    </row>
    <row r="17" spans="1:6">
      <c r="A17" s="52">
        <v>13</v>
      </c>
      <c r="B17" s="53" t="s">
        <v>51</v>
      </c>
      <c r="C17" s="52" t="s">
        <v>212</v>
      </c>
      <c r="D17" s="52" t="s">
        <v>213</v>
      </c>
      <c r="E17" s="52" t="s">
        <v>214</v>
      </c>
      <c r="F17" s="54" t="s">
        <v>215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10da59-0ee7-43d5-883c-696dd4545a55">
      <Terms xmlns="http://schemas.microsoft.com/office/infopath/2007/PartnerControls"/>
    </lcf76f155ced4ddcb4097134ff3c332f>
    <TaxCatchAll xmlns="ee86b452-6236-4403-b631-c7666198ad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23F66541D024782D492E613BAD7C3" ma:contentTypeVersion="13" ma:contentTypeDescription="Crear nuevo documento." ma:contentTypeScope="" ma:versionID="b1bdba65907339b9302633cc737d138d">
  <xsd:schema xmlns:xsd="http://www.w3.org/2001/XMLSchema" xmlns:xs="http://www.w3.org/2001/XMLSchema" xmlns:p="http://schemas.microsoft.com/office/2006/metadata/properties" xmlns:ns2="1e10da59-0ee7-43d5-883c-696dd4545a55" xmlns:ns3="ee86b452-6236-4403-b631-c7666198ad32" targetNamespace="http://schemas.microsoft.com/office/2006/metadata/properties" ma:root="true" ma:fieldsID="a3f1ab116a64f9442f72a81d93867a4b" ns2:_="" ns3:_="">
    <xsd:import namespace="1e10da59-0ee7-43d5-883c-696dd4545a55"/>
    <xsd:import namespace="ee86b452-6236-4403-b631-c7666198ad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10da59-0ee7-43d5-883c-696dd4545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ad45634-b09f-474f-a5e2-9d527c99c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86b452-6236-4403-b631-c7666198ad3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fb308a7-0cf3-4c6c-953f-48683460d014}" ma:internalName="TaxCatchAll" ma:showField="CatchAllData" ma:web="ee86b452-6236-4403-b631-c7666198ad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A88E65-129A-4648-B961-A04B15BE6985}"/>
</file>

<file path=customXml/itemProps2.xml><?xml version="1.0" encoding="utf-8"?>
<ds:datastoreItem xmlns:ds="http://schemas.openxmlformats.org/officeDocument/2006/customXml" ds:itemID="{901D04A5-B4A4-4572-B2B3-C79A349D5438}"/>
</file>

<file path=customXml/itemProps3.xml><?xml version="1.0" encoding="utf-8"?>
<ds:datastoreItem xmlns:ds="http://schemas.openxmlformats.org/officeDocument/2006/customXml" ds:itemID="{BC256CEC-BCFD-4A6A-9A20-D0546AFF2E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CT</dc:creator>
  <cp:keywords/>
  <dc:description/>
  <cp:lastModifiedBy/>
  <cp:revision/>
  <dcterms:created xsi:type="dcterms:W3CDTF">2017-01-18T14:19:02Z</dcterms:created>
  <dcterms:modified xsi:type="dcterms:W3CDTF">2026-09-12T17:40:27Z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0x01010050823F66541D024782D492E613BAD7C3</vt:lpwstr>
  </property>
  <property fmtid="{D5CDD505-2E9C-101B-9397-08002B2CF9AE}" pid="3" name="MediaServiceImageTags">
    <vt:lpwstr/>
  </property>
</Properties>
</file>